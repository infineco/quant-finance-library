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officeDocument/2006/relationships/extended-properties" Target="/docProps/app.xml" Id="rId2" /><Relationship Type="http://schemas.openxmlformats.org/package/2006/relationships/metadata/core-properties" Target="/package/services/metadata/core-properties/core.psmdcp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Pricing" sheetId="2" r:id="rId3"/>
    <x:sheet name="Ladder" sheetId="3" r:id="rId4"/>
  </x:sheets>
  <x:definedNames>
    <x:definedName name="Spot">'Pricing'!$C$5</x:definedName>
    <x:definedName name="Strike">'Pricing'!$C$6</x:definedName>
    <x:definedName name="Maturity">'Pricing'!$C$7</x:definedName>
    <x:definedName name="Rate">'Pricing'!$C$8</x:definedName>
    <x:definedName name="DivYield">'Pricing'!$C$9</x:definedName>
    <x:definedName name="Vol">'Pricing'!$C$10</x:definedName>
    <x:definedName name="OptType">'Pricing'!$C$11</x:definedName>
    <x:definedName name="BsPrice">'Pricing'!$C$14</x:definedName>
    <x:definedName name="Fwd">'Pricing'!$C$25</x:definedName>
    <x:definedName name="DiscFactor">'Pricing'!$C$26</x:definedName>
  </x:definedNames>
  <x:calcPr calcId="125725" fullCalcOnLoad="1"/>
</x:workbook>
</file>

<file path=xl/calcChain.xml><?xml version="1.0" encoding="utf-8"?>
<x:calcChain xmlns:x="http://schemas.openxmlformats.org/spreadsheetml/2006/main">
  <x:c r="B23" i="1"/>
  <x:c r="B24" i="1"/>
  <x:c r="C14" i="2"/>
  <x:c r="C15" i="2"/>
  <x:c r="C16" i="2"/>
  <x:c r="C17" i="2"/>
  <x:c r="C18" i="2"/>
  <x:c r="C19" i="2"/>
  <x:c r="C20" i="2"/>
  <x:c r="C21" i="2"/>
  <x:c r="C22" i="2"/>
  <x:c r="C25" i="2"/>
  <x:c r="C26" i="2"/>
  <x:c r="C27" i="2"/>
  <x:c r="C28" i="2"/>
  <x:c r="C29" i="2"/>
  <x:c r="B32" i="2" a="1"/>
  <x:c r="B32" i="2"/>
  <x:c r="C32" i="2"/>
  <x:c r="D32" i="2"/>
  <x:c r="E32" i="2"/>
  <x:c r="F32" i="2"/>
  <x:c r="G32" i="2"/>
  <x:c r="H32" i="2"/>
  <x:c r="I32" i="2"/>
  <x:c r="J32" i="2"/>
  <x:c r="K32" i="2"/>
  <x:c r="B33" i="2"/>
  <x:c r="C33" i="2"/>
  <x:c r="D33" i="2"/>
  <x:c r="E33" i="2"/>
  <x:c r="F33" i="2"/>
  <x:c r="G33" i="2"/>
  <x:c r="H33" i="2"/>
  <x:c r="I33" i="2"/>
  <x:c r="J33" i="2"/>
  <x:c r="K33" i="2"/>
  <x:c r="C5" i="3"/>
  <x:c r="D5" i="3"/>
  <x:c r="E5" i="3"/>
  <x:c r="F5" i="3"/>
  <x:c r="G5" i="3"/>
  <x:c r="H5" i="3"/>
  <x:c r="I5" i="3"/>
  <x:c r="J5" i="3"/>
  <x:c r="C6" i="3"/>
  <x:c r="D6" i="3"/>
  <x:c r="E6" i="3"/>
  <x:c r="F6" i="3"/>
  <x:c r="G6" i="3"/>
  <x:c r="H6" i="3"/>
  <x:c r="I6" i="3"/>
  <x:c r="J6" i="3"/>
  <x:c r="C7" i="3"/>
  <x:c r="D7" i="3"/>
  <x:c r="E7" i="3"/>
  <x:c r="F7" i="3"/>
  <x:c r="G7" i="3"/>
  <x:c r="H7" i="3"/>
  <x:c r="I7" i="3"/>
  <x:c r="J7" i="3"/>
  <x:c r="C8" i="3"/>
  <x:c r="D8" i="3"/>
  <x:c r="E8" i="3"/>
  <x:c r="F8" i="3"/>
  <x:c r="G8" i="3"/>
  <x:c r="H8" i="3"/>
  <x:c r="I8" i="3"/>
  <x:c r="J8" i="3"/>
  <x:c r="C9" i="3"/>
  <x:c r="D9" i="3"/>
  <x:c r="E9" i="3"/>
  <x:c r="F9" i="3"/>
  <x:c r="G9" i="3"/>
  <x:c r="H9" i="3"/>
  <x:c r="I9" i="3"/>
  <x:c r="J9" i="3"/>
  <x:c r="C10" i="3"/>
  <x:c r="D10" i="3"/>
  <x:c r="E10" i="3"/>
  <x:c r="F10" i="3"/>
  <x:c r="G10" i="3"/>
  <x:c r="H10" i="3"/>
  <x:c r="I10" i="3"/>
  <x:c r="J10" i="3"/>
  <x:c r="C11" i="3"/>
  <x:c r="D11" i="3"/>
  <x:c r="E11" i="3"/>
  <x:c r="F11" i="3"/>
  <x:c r="G11" i="3"/>
  <x:c r="H11" i="3"/>
  <x:c r="I11" i="3"/>
  <x:c r="J11" i="3"/>
  <x:c r="C12" i="3"/>
  <x:c r="D12" i="3"/>
  <x:c r="E12" i="3"/>
  <x:c r="F12" i="3"/>
  <x:c r="G12" i="3"/>
  <x:c r="H12" i="3"/>
  <x:c r="I12" i="3"/>
  <x:c r="J12" i="3"/>
  <x:c r="C13" i="3"/>
  <x:c r="D13" i="3"/>
  <x:c r="E13" i="3"/>
  <x:c r="F13" i="3"/>
  <x:c r="G13" i="3"/>
  <x:c r="H13" i="3"/>
  <x:c r="I13" i="3"/>
  <x:c r="J13" i="3"/>
  <x:c r="C14" i="3"/>
  <x:c r="D14" i="3"/>
  <x:c r="E14" i="3"/>
  <x:c r="F14" i="3"/>
  <x:c r="G14" i="3"/>
  <x:c r="H14" i="3"/>
  <x:c r="I14" i="3"/>
  <x:c r="J14" i="3"/>
  <x:c r="C15" i="3"/>
  <x:c r="D15" i="3"/>
  <x:c r="E15" i="3"/>
  <x:c r="F15" i="3"/>
  <x:c r="G15" i="3"/>
  <x:c r="H15" i="3"/>
  <x:c r="I15" i="3"/>
  <x:c r="J15" i="3"/>
  <x:c r="C16" i="3"/>
  <x:c r="D16" i="3"/>
  <x:c r="E16" i="3"/>
  <x:c r="F16" i="3"/>
  <x:c r="G16" i="3"/>
  <x:c r="H16" i="3"/>
  <x:c r="I16" i="3"/>
  <x:c r="J16" i="3"/>
  <x:c r="C17" i="3"/>
  <x:c r="D17" i="3"/>
  <x:c r="E17" i="3"/>
  <x:c r="F17" i="3"/>
  <x:c r="G17" i="3"/>
  <x:c r="H17" i="3"/>
  <x:c r="I17" i="3"/>
  <x:c r="J17" i="3"/>
</x:calcChain>
</file>

<file path=xl/sharedStrings.xml><?xml version="1.0" encoding="utf-8"?>
<x:sst xmlns:x="http://schemas.openxmlformats.org/spreadsheetml/2006/main">
  <x:si>
    <x:t>Pricing and Greeks</x:t>
  </x:si>
  <x:si>
    <x:t>European option pricing with Black-Scholes-Merton and Black-76, the ten greeks in one call, and a strike ladder. Change the yellow inputs on the Pricing sheet and everything, including the ladder and its charts, follows.</x:t>
  </x:si>
  <x:si>
    <x:t>What is in this workbook</x:t>
  </x:si>
  <x:si>
    <x:t xml:space="preserve">   Pricing: inputs (spot, strike, maturity, rate, dividend yield, volatility, call or put), QF.BS.PRICE, put-call parity check, QF.BS.GREEKS with a header row, Black-76 on the forward with its implied volatility round trip.</x:t>
  </x:si>
  <x:si>
    <x:t xml:space="preserve">   Ladder: prices, deltas, gamma and vega for 13 strikes from 70% to 130% of spot, with charts of price and delta against strike.</x:t>
  </x:si>
  <x:si>
    <x:t>Functions used: QF.BS.PRICE, QF.BS.GREEKS, QF.BLACK76.PRICE, QF.IMPLIEDVOL, QF.IMPLIEDVOL.BLACK76.</x:t>
  </x:si>
  <x:si>
    <x:t>Before you start</x:t>
  </x:si>
  <x:si>
    <x:t xml:space="preserve">   1. The numbers appear only when the InFine QuantFinance add-in (an Excel-DNA .xll, Windows, 64-bit Excel) is loaded. Without it, every QF.* cell shows #NAME?.</x:t>
  </x:si>
  <x:si>
    <x:t xml:space="preserve">   2. Build or download the packed add-in, unblock the file (right-click, Properties, Unblock), then File &gt; Options &gt; Add-ins &gt; Manage Excel Add-ins &gt; Go &gt; Browse and pick the .xll.</x:t>
  </x:si>
  <x:si>
    <x:t xml:space="preserve">   3. Open this workbook. If cells still show #NAME? or #REF!, press Ctrl+Alt+F9 (full recalculation): objects such as curves and covariance matrices are kept in memory and are rebuilt by the cells that create them.</x:t>
  </x:si>
  <x:si>
    <x:t xml:space="preserve">   4. Full instructions, the function reference and the conventions are in docs/excel.md:</x:t>
  </x:si>
  <x:si>
    <x:t xml:space="preserve">   https://github.com/infineco/quant-finance-library/blob/main/docs/excel.md</x:t>
  </x:si>
  <x:si>
    <x:t>Colour code</x:t>
  </x:si>
  <x:si>
    <x:t xml:space="preserve">   Blue on pale yellow: an input, type over it.</x:t>
  </x:si>
  <x:si>
    <x:t xml:space="preserve">   Black on white: a formula, do not overwrite it. Cells that start a QF.* block are Ctrl+Shift+Enter array formulas ({=...}).</x:t>
  </x:si>
  <x:si>
    <x:t>Diagnostics</x:t>
  </x:si>
  <x:si>
    <x:t xml:space="preserve">   Tip: a cell can only show #VALUE!, #NUM! or #REF!. When a QF.* cell fails, type =QF.LASTERROR() in a free cell to read the reason, with the function and the argument name (it is the last failure of any QF function).</x:t>
  </x:si>
  <x:si>
    <x:t>All market data in these workbooks is synthetic or illustrative; it is not a recommendation and not a market quote.</x:t>
  </x:si>
  <x:si>
    <x:t>Black-Scholes and Black-76</x:t>
  </x:si>
  <x:si>
    <x:t>Yellow cells are inputs, white cells are formulas. Rates and volatilities are decimals, times are in years.</x:t>
  </x:si>
  <x:si>
    <x:t>Inputs</x:t>
  </x:si>
  <x:si>
    <x:t>Value</x:t>
  </x:si>
  <x:si>
    <x:t>Spot S</x:t>
  </x:si>
  <x:si>
    <x:t>Strike K</x:t>
  </x:si>
  <x:si>
    <x:t>Maturity T (years)</x:t>
  </x:si>
  <x:si>
    <x:t>Risk-free rate r (continuous)</x:t>
  </x:si>
  <x:si>
    <x:t>Dividend yield q (continuous)</x:t>
  </x:si>
  <x:si>
    <x:t>Volatility</x:t>
  </x:si>
  <x:si>
    <x:t>Option type (C or P)</x:t>
  </x:si>
  <x:si>
    <x:t>C</x:t>
  </x:si>
  <x:si>
    <x:t>0.03 is 3%</x:t>
  </x:si>
  <x:si>
    <x:t>0.20 is 20%</x:t>
  </x:si>
  <x:si>
    <x:t>Black-Scholes-Merton</x:t>
  </x:si>
  <x:si>
    <x:t>Price (selected type)</x:t>
  </x:si>
  <x:si>
    <x:t>Call price</x:t>
  </x:si>
  <x:si>
    <x:t>Put price</x:t>
  </x:si>
  <x:si>
    <x:t>Call - Put</x:t>
  </x:si>
  <x:si>
    <x:t>S e^(-qT) - K e^(-rT)</x:t>
  </x:si>
  <x:si>
    <x:t>Put-call parity difference</x:t>
  </x:si>
  <x:si>
    <x:t>Put-call parity check</x:t>
  </x:si>
  <x:si>
    <x:t>Delta (selected type)</x:t>
  </x:si>
  <x:si>
    <x:t>Implied volatility of the price (round trip)</x:t>
  </x:si>
  <x:si>
    <x:t>returns the input volatility</x:t>
  </x:si>
  <x:si>
    <x:t>Black-76 (option on the forward)</x:t>
  </x:si>
  <x:si>
    <x:t>Forward F = S e^((r-q)T)</x:t>
  </x:si>
  <x:si>
    <x:t>Discount factor e^(-rT)</x:t>
  </x:si>
  <x:si>
    <x:t>Black-76 price (selected type)</x:t>
  </x:si>
  <x:si>
    <x:t>Difference with Black-Scholes</x:t>
  </x:si>
  <x:si>
    <x:t>Black-76 implied volatility (round trip)</x:t>
  </x:si>
  <x:si>
    <x:t>All greeks: QF.BS.GREEKS(..., "HEADER")</x:t>
  </x:si>
  <x:si>
    <x:t/>
  </x:si>
  <x:si>
    <x:t>Raw derivatives: vega is per unit of volatility and theta per year; divide by 100 for one vol point and by 365 for one day. Rho and DivRho are per unit of rate.</x:t>
  </x:si>
  <x:si>
    <x:t>QF.BS.GREEKS returns 2 rows x 10 columns with "HEADER" (1 x 10 with "ALL"); it is a Ctrl+Shift+Enter array formula over B32:K33.</x:t>
  </x:si>
  <x:si>
    <x:t>Strike ladder</x:t>
  </x:si>
  <x:si>
    <x:t>Uses Spot, Maturity, Rate, DivYield and Vol from the Pricing sheet. Change the moneyness column to move the strikes.</x:t>
  </x:si>
  <x:si>
    <x:t>K / S</x:t>
  </x:si>
  <x:si>
    <x:t>Strike</x:t>
  </x:si>
  <x:si>
    <x:t>Call</x:t>
  </x:si>
  <x:si>
    <x:t>Put</x:t>
  </x:si>
  <x:si>
    <x:t>Call delta</x:t>
  </x:si>
  <x:si>
    <x:t>Put delta</x:t>
  </x:si>
  <x:si>
    <x:t>Gamma</x:t>
  </x:si>
  <x:si>
    <x:t>Vega (per vol point)</x:t>
  </x:si>
  <x:si>
    <x:t>Parity difference</x:t>
  </x:si>
  <x:si>
    <x:t>The last column is the put-call parity difference of each strike: zero up to rounding.</x:t>
  </x:si>
</x:sst>
</file>

<file path=xl/styles.xml><?xml version="1.0" encoding="utf-8"?>
<x:styleSheet xmlns:x="http://schemas.openxmlformats.org/spreadsheetml/2006/main">
  <x:numFmts count="8">
    <x:numFmt numFmtId="0" formatCode=""/>
    <x:numFmt numFmtId="164" formatCode="0.00"/>
    <x:numFmt numFmtId="165" formatCode="0.00%"/>
    <x:numFmt numFmtId="166" formatCode="0.0000"/>
    <x:numFmt numFmtId="167" formatCode="0.0E+00"/>
    <x:numFmt numFmtId="168" formatCode="0.000000"/>
    <x:numFmt numFmtId="169" formatCode="General"/>
    <x:numFmt numFmtId="170" formatCode="0%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3864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  <x:xf numFmtId="169" fontId="5" fillId="4" borderId="2" applyNumberFormat="1" applyFill="0" applyBorder="1" applyAlignment="1" applyProtection="1">
      <x:protection locked="1" hidden="0"/>
    </x:xf>
    <x:xf numFmtId="169" fontId="5" fillId="4" borderId="3" applyNumberFormat="1" applyFill="0" applyBorder="1" applyAlignment="1" applyProtection="1">
      <x:protection locked="1" hidden="0"/>
    </x:xf>
    <x:xf numFmtId="169" fontId="5" fillId="4" borderId="4" applyNumberFormat="1" applyFill="0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  <x:xf numFmtId="166" fontId="0" fillId="0" borderId="7" applyNumberFormat="1" applyFill="1" applyBorder="1" applyAlignment="1" applyProtection="1">
      <x:protection locked="1" hidden="0"/>
    </x:xf>
    <x:xf numFmtId="170" fontId="4" fillId="3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5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5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Option price against strike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</c:v>
          </c:tx>
          <c:spPr>
            <a:ln w="22225" cap="rnd">
              <a:solidFill>
                <a:srgbClr val="1F4E79"/>
              </a:solidFill>
              <a:round/>
            </a:ln>
          </c:spPr>
          <c:marker>
            <c:symbol val="circle"/>
            <c:size val="6"/>
            <c:spPr>
              <a:solidFill>
                <a:srgbClr val="1F4E79"/>
              </a:solidFill>
              <a:ln w="9525">
                <a:solidFill>
                  <a:srgbClr val="1F4E79"/>
                </a:solidFill>
              </a:ln>
            </c:spPr>
          </c:marker>
          <c:xVal>
            <c:numRef>
              <c:f>'Ladder'!$C$5:$C$17</c:f>
            </c:numRef>
          </c:xVal>
          <c:yVal>
            <c:numRef>
              <c:f>'Ladder'!$D$5:$D$17</c:f>
            </c:numRef>
          </c:yVal>
          <c:smooth val="0"/>
        </c:ser>
        <c:ser>
          <c:idx val="1"/>
          <c:order val="1"/>
          <c:tx>
            <c:v>Put</c:v>
          </c:tx>
          <c:spPr>
            <a:ln w="22225" cap="rnd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  <a:ln w="9525">
                <a:solidFill>
                  <a:srgbClr val="C55A11"/>
                </a:solidFill>
              </a:ln>
            </c:spPr>
          </c:marker>
          <c:xVal>
            <c:numRef>
              <c:f>'Ladder'!$C$5:$C$17</c:f>
            </c:numRef>
          </c:xVal>
          <c:yVal>
            <c:numRef>
              <c:f>'Ladder'!$E$5:$E$17</c:f>
            </c:numRef>
          </c:yVal>
          <c:smooth val="0"/>
        </c:ser>
        <c:axId val="50010"/>
        <c:axId val="50020"/>
      </c:scatterChart>
      <c:val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Strike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Price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low"/>
        <c:crossAx val="50010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Delta against strike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Call delta</c:v>
          </c:tx>
          <c:spPr>
            <a:ln w="22225" cap="rnd">
              <a:solidFill>
                <a:srgbClr val="1F4E79"/>
              </a:solidFill>
              <a:round/>
            </a:ln>
          </c:spPr>
          <c:marker>
            <c:symbol val="circle"/>
            <c:size val="6"/>
            <c:spPr>
              <a:solidFill>
                <a:srgbClr val="1F4E79"/>
              </a:solidFill>
              <a:ln w="9525">
                <a:solidFill>
                  <a:srgbClr val="1F4E79"/>
                </a:solidFill>
              </a:ln>
            </c:spPr>
          </c:marker>
          <c:xVal>
            <c:numRef>
              <c:f>'Ladder'!$C$5:$C$17</c:f>
            </c:numRef>
          </c:xVal>
          <c:yVal>
            <c:numRef>
              <c:f>'Ladder'!$F$5:$F$17</c:f>
            </c:numRef>
          </c:yVal>
          <c:smooth val="0"/>
        </c:ser>
        <c:ser>
          <c:idx val="1"/>
          <c:order val="1"/>
          <c:tx>
            <c:v>Put delta</c:v>
          </c:tx>
          <c:spPr>
            <a:ln w="22225" cap="rnd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  <a:ln w="9525">
                <a:solidFill>
                  <a:srgbClr val="C55A11"/>
                </a:solidFill>
              </a:ln>
            </c:spPr>
          </c:marker>
          <c:xVal>
            <c:numRef>
              <c:f>'Ladder'!$C$5:$C$17</c:f>
            </c:numRef>
          </c:xVal>
          <c:yVal>
            <c:numRef>
              <c:f>'Ladder'!$G$5:$G$17</c:f>
            </c:numRef>
          </c:yVal>
          <c:smooth val="0"/>
        </c:ser>
        <c:axId val="50010"/>
        <c:axId val="50020"/>
      </c:scatterChart>
      <c:valAx>
        <c:axId val="50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Strike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low"/>
        <c:crossAx val="50020"/>
        <c:crosses val="autoZero"/>
        <c:crossBetween val="midCat"/>
      </c:val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Delta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low"/>
        <c:crossAx val="50010"/>
        <c:crosses val="autoZero"/>
        <c:crossBetween val="midCat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infineco/quant-finance-library/blob/main/docs/excel.md" TargetMode="External" Id="rId7" 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F7F7F"/>
    <x:outlinePr summaryBelow="1" summaryRight="1"/>
  </x:sheetPr>
  <x:dimension ref="A1:B27"/>
  <x:sheetViews>
    <x:sheetView showGridLines="0" workbookViewId="0"/>
  </x:sheetViews>
  <x:sheetFormatPr defaultRowHeight="15"/>
  <x:cols>
    <x:col min="1" max="1" width="2.710625" style="0" customWidth="1"/>
    <x:col min="2" max="2" width="118.710625" style="0" customWidth="1"/>
  </x:cols>
  <x:sheetData>
    <x:row r="2" spans="1:2">
      <x:c r="B2" s="1" t="s">
        <x:v>0</x:v>
      </x:c>
    </x:row>
    <x:row r="3" spans="1:2">
      <x:c r="B3" s="2" t="s">
        <x:v>1</x:v>
      </x:c>
    </x:row>
    <x:row r="5" spans="1:2">
      <x:c r="B5" s="3" t="s">
        <x:v>2</x:v>
      </x:c>
    </x:row>
    <x:row r="6" spans="1:2">
      <x:c r="B6" s="2" t="s">
        <x:v>3</x:v>
      </x:c>
    </x:row>
    <x:row r="7" spans="1:2">
      <x:c r="B7" s="2" t="s">
        <x:v>4</x:v>
      </x:c>
    </x:row>
    <x:row r="9" spans="1:2">
      <x:c r="B9" s="2" t="s">
        <x:v>5</x:v>
      </x:c>
    </x:row>
    <x:row r="11" spans="1:2">
      <x:c r="B11" s="3" t="s">
        <x:v>6</x:v>
      </x:c>
    </x:row>
    <x:row r="12" spans="1:2">
      <x:c r="B12" s="2" t="s">
        <x:v>7</x:v>
      </x:c>
    </x:row>
    <x:row r="13" spans="1:2">
      <x:c r="B13" s="2" t="s">
        <x:v>8</x:v>
      </x:c>
    </x:row>
    <x:row r="14" spans="1:2">
      <x:c r="B14" s="2" t="s">
        <x:v>9</x:v>
      </x:c>
    </x:row>
    <x:row r="15" spans="1:2">
      <x:c r="B15" s="2" t="s">
        <x:v>10</x:v>
      </x:c>
    </x:row>
    <x:row r="16" spans="1:2">
      <x:c r="B16" s="4" t="s">
        <x:v>11</x:v>
      </x:c>
    </x:row>
    <x:row r="18" spans="1:2">
      <x:c r="B18" s="3" t="s">
        <x:v>12</x:v>
      </x:c>
    </x:row>
    <x:row r="19" spans="1:2">
      <x:c r="B19" s="5" t="s">
        <x:v>13</x:v>
      </x:c>
    </x:row>
    <x:row r="20" spans="1:2">
      <x:c r="B20" s="0" t="s">
        <x:v>14</x:v>
      </x:c>
    </x:row>
    <x:row r="22" spans="1:2">
      <x:c r="B22" s="3" t="s">
        <x:v>15</x:v>
      </x:c>
    </x:row>
    <x:row r="23" spans="1:2">
      <x:c r="B23" s="6">
        <x:f>"   Add-in status: "&amp;IF(ISERROR(QF.VERSION()),"NOT LOADED (QF.* cells show #NAME?)","loaded, version "&amp;QF.VERSION())</x:f>
      </x:c>
    </x:row>
    <x:row r="24" spans="1:2">
      <x:c r="B24" s="0">
        <x:f>"   Last error reported by the add-in (QF.LASTERROR): "&amp;IFERROR(QF.LASTERROR(),"(add-in not loaded)")</x:f>
      </x:c>
    </x:row>
    <x:row r="25" spans="1:2">
      <x:c r="B25" s="2" t="s">
        <x:v>16</x:v>
      </x:c>
    </x:row>
    <x:row r="27" spans="1:2">
      <x:c r="B27" s="2" t="s">
        <x:v>17</x:v>
      </x:c>
    </x:row>
  </x:sheetData>
  <x:hyperlinks>
    <x:hyperlink ref="B16" r:id="rId7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5"/>
  <x:sheetViews>
    <x:sheetView showGridLines="0" workbookViewId="0"/>
  </x:sheetViews>
  <x:sheetFormatPr defaultRowHeight="15"/>
  <x:cols>
    <x:col min="1" max="1" width="2.710625" style="0" customWidth="1"/>
    <x:col min="2" max="2" width="40.710625" style="0" customWidth="1"/>
    <x:col min="3" max="4" width="14.710625" style="0" customWidth="1"/>
    <x:col min="5" max="11" width="12.710625" style="0" customWidth="1"/>
  </x:cols>
  <x:sheetData>
    <x:row r="1" spans="1:11">
      <x:c r="B1" s="1" t="s">
        <x:v>18</x:v>
      </x:c>
    </x:row>
    <x:row r="2" spans="1:11">
      <x:c r="B2" s="7" t="s">
        <x:v>19</x:v>
      </x:c>
    </x:row>
    <x:row r="4" spans="1:11">
      <x:c r="B4" s="8" t="s">
        <x:v>20</x:v>
      </x:c>
      <x:c r="C4" s="9" t="s">
        <x:v>21</x:v>
      </x:c>
    </x:row>
    <x:row r="5" spans="1:11">
      <x:c r="B5" s="0" t="s">
        <x:v>22</x:v>
      </x:c>
      <x:c r="C5" s="10">
        <x:v>100</x:v>
      </x:c>
    </x:row>
    <x:row r="6" spans="1:11">
      <x:c r="B6" s="0" t="s">
        <x:v>23</x:v>
      </x:c>
      <x:c r="C6" s="10">
        <x:v>100</x:v>
      </x:c>
    </x:row>
    <x:row r="7" spans="1:11">
      <x:c r="B7" s="0" t="s">
        <x:v>24</x:v>
      </x:c>
      <x:c r="C7" s="10">
        <x:v>1</x:v>
      </x:c>
    </x:row>
    <x:row r="8" spans="1:11">
      <x:c r="B8" s="0" t="s">
        <x:v>25</x:v>
      </x:c>
      <x:c r="C8" s="11">
        <x:v>0.03</x:v>
      </x:c>
      <x:c r="D8" s="7" t="s">
        <x:v>30</x:v>
      </x:c>
    </x:row>
    <x:row r="9" spans="1:11">
      <x:c r="B9" s="0" t="s">
        <x:v>26</x:v>
      </x:c>
      <x:c r="C9" s="11">
        <x:v>0.01</x:v>
      </x:c>
    </x:row>
    <x:row r="10" spans="1:11">
      <x:c r="B10" s="0" t="s">
        <x:v>27</x:v>
      </x:c>
      <x:c r="C10" s="11">
        <x:v>0.2</x:v>
      </x:c>
      <x:c r="D10" s="7" t="s">
        <x:v>31</x:v>
      </x:c>
    </x:row>
    <x:row r="11" spans="1:11">
      <x:c r="B11" s="0" t="s">
        <x:v>28</x:v>
      </x:c>
      <x:c r="C11" s="12" t="s">
        <x:v>29</x:v>
      </x:c>
    </x:row>
    <x:row r="13" spans="1:11">
      <x:c r="B13" s="8" t="s">
        <x:v>32</x:v>
      </x:c>
      <x:c r="C13" s="9" t="s">
        <x:v>21</x:v>
      </x:c>
    </x:row>
    <x:row r="14" spans="1:11">
      <x:c r="B14" s="0" t="s">
        <x:v>33</x:v>
      </x:c>
      <x:c r="C14" s="13">
        <x:f>QF.BS.PRICE(OptType,Spot,Strike,Maturity,Rate,DivYield,Vol)</x:f>
      </x:c>
    </x:row>
    <x:row r="15" spans="1:11">
      <x:c r="B15" s="0" t="s">
        <x:v>34</x:v>
      </x:c>
      <x:c r="C15" s="13">
        <x:f>QF.BS.PRICE("C",Spot,Strike,Maturity,Rate,DivYield,Vol)</x:f>
      </x:c>
    </x:row>
    <x:row r="16" spans="1:11">
      <x:c r="B16" s="0" t="s">
        <x:v>35</x:v>
      </x:c>
      <x:c r="C16" s="13">
        <x:f>QF.BS.PRICE("P",Spot,Strike,Maturity,Rate,DivYield,Vol)</x:f>
      </x:c>
    </x:row>
    <x:row r="17" spans="1:11">
      <x:c r="B17" s="0" t="s">
        <x:v>36</x:v>
      </x:c>
      <x:c r="C17" s="13">
        <x:f>C15-C16</x:f>
      </x:c>
    </x:row>
    <x:row r="18" spans="1:11">
      <x:c r="B18" s="0" t="s">
        <x:v>37</x:v>
      </x:c>
      <x:c r="C18" s="13">
        <x:f>Spot*EXP(-DivYield*Maturity)-Strike*EXP(-Rate*Maturity)</x:f>
      </x:c>
    </x:row>
    <x:row r="19" spans="1:11">
      <x:c r="B19" s="0" t="s">
        <x:v>38</x:v>
      </x:c>
      <x:c r="C19" s="14">
        <x:f>C17-C18</x:f>
      </x:c>
    </x:row>
    <x:row r="20" spans="1:11">
      <x:c r="B20" s="0" t="s">
        <x:v>39</x:v>
      </x:c>
      <x:c r="C20" s="15">
        <x:f>IF(ABS(C19)&lt;1E-9,"OK","CHECK")</x:f>
      </x:c>
    </x:row>
    <x:row r="21" spans="1:11">
      <x:c r="B21" s="0" t="s">
        <x:v>40</x:v>
      </x:c>
      <x:c r="C21" s="13">
        <x:f>QF.BS.GREEKS(OptType,Spot,Strike,Maturity,Rate,DivYield,Vol,"Delta")</x:f>
      </x:c>
    </x:row>
    <x:row r="22" spans="1:11">
      <x:c r="B22" s="0" t="s">
        <x:v>41</x:v>
      </x:c>
      <x:c r="C22" s="16">
        <x:f>QF.IMPLIEDVOL(C14,OptType,Spot,Strike,Maturity,Rate,DivYield)</x:f>
      </x:c>
      <x:c r="D22" s="7" t="s">
        <x:v>42</x:v>
      </x:c>
    </x:row>
    <x:row r="24" spans="1:11">
      <x:c r="B24" s="8" t="s">
        <x:v>43</x:v>
      </x:c>
      <x:c r="C24" s="9" t="s">
        <x:v>21</x:v>
      </x:c>
    </x:row>
    <x:row r="25" spans="1:11">
      <x:c r="B25" s="0" t="s">
        <x:v>44</x:v>
      </x:c>
      <x:c r="C25" s="13">
        <x:f>Spot*EXP((Rate-DivYield)*Maturity)</x:f>
      </x:c>
    </x:row>
    <x:row r="26" spans="1:11">
      <x:c r="B26" s="0" t="s">
        <x:v>45</x:v>
      </x:c>
      <x:c r="C26" s="17">
        <x:f>EXP(-Rate*Maturity)</x:f>
      </x:c>
    </x:row>
    <x:row r="27" spans="1:11">
      <x:c r="B27" s="0" t="s">
        <x:v>46</x:v>
      </x:c>
      <x:c r="C27" s="13">
        <x:f>QF.BLACK76.PRICE(OptType,Fwd,Strike,Maturity,DiscFactor,Vol)</x:f>
      </x:c>
    </x:row>
    <x:row r="28" spans="1:11">
      <x:c r="B28" s="0" t="s">
        <x:v>47</x:v>
      </x:c>
      <x:c r="C28" s="14">
        <x:f>C27-C14</x:f>
      </x:c>
    </x:row>
    <x:row r="29" spans="1:11">
      <x:c r="B29" s="0" t="s">
        <x:v>48</x:v>
      </x:c>
      <x:c r="C29" s="16">
        <x:f>QF.IMPLIEDVOL.BLACK76(C27,OptType,Fwd,Strike,Maturity,DiscFactor)</x:f>
      </x:c>
    </x:row>
    <x:row r="31" spans="1:11">
      <x:c r="B31" s="8" t="s">
        <x:v>49</x:v>
      </x:c>
      <x:c r="C31" s="8" t="s">
        <x:v>50</x:v>
      </x:c>
      <x:c r="D31" s="9" t="s">
        <x:v>50</x:v>
      </x:c>
      <x:c r="E31" s="9" t="s">
        <x:v>50</x:v>
      </x:c>
      <x:c r="F31" s="9" t="s">
        <x:v>50</x:v>
      </x:c>
      <x:c r="G31" s="9" t="s">
        <x:v>50</x:v>
      </x:c>
      <x:c r="H31" s="9" t="s">
        <x:v>50</x:v>
      </x:c>
      <x:c r="I31" s="9" t="s">
        <x:v>50</x:v>
      </x:c>
      <x:c r="J31" s="9" t="s">
        <x:v>50</x:v>
      </x:c>
      <x:c r="K31" s="9" t="s">
        <x:v>50</x:v>
      </x:c>
    </x:row>
    <x:row r="32" spans="1:11">
      <x:c r="B32" s="18">
        <x:f t="array" ref="B32:K33">QF.BS.GREEKS(OptType,Spot,Strike,Maturity,Rate,DivYield,Vol,"HEADER")</x:f>
      </x:c>
      <x:c r="C32" s="19"/>
      <x:c r="D32" s="19"/>
      <x:c r="E32" s="19"/>
      <x:c r="F32" s="19"/>
      <x:c r="G32" s="19"/>
      <x:c r="H32" s="19"/>
      <x:c r="I32" s="19"/>
      <x:c r="J32" s="19"/>
      <x:c r="K32" s="20"/>
    </x:row>
    <x:row r="33" spans="1:11">
      <x:c r="B33" s="21"/>
      <x:c r="C33" s="22"/>
      <x:c r="D33" s="22"/>
      <x:c r="E33" s="22"/>
      <x:c r="F33" s="22"/>
      <x:c r="G33" s="22"/>
      <x:c r="H33" s="22"/>
      <x:c r="I33" s="22"/>
      <x:c r="J33" s="22"/>
      <x:c r="K33" s="23"/>
    </x:row>
    <x:row r="34" spans="1:11">
      <x:c r="B34" s="7" t="s">
        <x:v>51</x:v>
      </x:c>
    </x:row>
    <x:row r="35" spans="1:11">
      <x:c r="B35" s="7" t="s">
        <x:v>52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C11:C11">
      <x:formula1>"C,P"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showGridLines="0" workbookViewId="0"/>
  </x:sheetViews>
  <x:sheetFormatPr defaultRowHeight="15"/>
  <x:cols>
    <x:col min="1" max="1" width="2.710625" style="0" customWidth="1"/>
    <x:col min="2" max="2" width="10.710625" style="0" customWidth="1"/>
    <x:col min="3" max="8" width="12.710625" style="0" customWidth="1"/>
    <x:col min="9" max="9" width="16.710625" style="0" customWidth="1"/>
    <x:col min="10" max="10" width="14.710625" style="0" customWidth="1"/>
  </x:cols>
  <x:sheetData>
    <x:row r="1" spans="1:10">
      <x:c r="B1" s="1" t="s">
        <x:v>53</x:v>
      </x:c>
    </x:row>
    <x:row r="2" spans="1:10">
      <x:c r="B2" s="7" t="s">
        <x:v>54</x:v>
      </x:c>
    </x:row>
    <x:row r="4" spans="1:10">
      <x:c r="B4" s="8" t="s">
        <x:v>55</x:v>
      </x:c>
      <x:c r="C4" s="9" t="s">
        <x:v>56</x:v>
      </x:c>
      <x:c r="D4" s="9" t="s">
        <x:v>57</x:v>
      </x:c>
      <x:c r="E4" s="9" t="s">
        <x:v>58</x:v>
      </x:c>
      <x:c r="F4" s="9" t="s">
        <x:v>59</x:v>
      </x:c>
      <x:c r="G4" s="9" t="s">
        <x:v>60</x:v>
      </x:c>
      <x:c r="H4" s="9" t="s">
        <x:v>61</x:v>
      </x:c>
      <x:c r="I4" s="9" t="s">
        <x:v>62</x:v>
      </x:c>
      <x:c r="J4" s="9" t="s">
        <x:v>63</x:v>
      </x:c>
    </x:row>
    <x:row r="5" spans="1:10">
      <x:c r="B5" s="24">
        <x:v>0.7</x:v>
      </x:c>
      <x:c r="C5" s="25">
        <x:f>ROUND(Spot*B5,2)</x:f>
      </x:c>
      <x:c r="D5" s="13">
        <x:f>QF.BS.PRICE("C",Spot,C5,Maturity,Rate,DivYield,Vol)</x:f>
      </x:c>
      <x:c r="E5" s="13">
        <x:f>QF.BS.PRICE("P",Spot,C5,Maturity,Rate,DivYield,Vol)</x:f>
      </x:c>
      <x:c r="F5" s="13">
        <x:f>QF.BS.GREEKS("C",Spot,C5,Maturity,Rate,DivYield,Vol,"Delta")</x:f>
      </x:c>
      <x:c r="G5" s="13">
        <x:f>QF.BS.GREEKS("P",Spot,C5,Maturity,Rate,DivYield,Vol,"Delta")</x:f>
      </x:c>
      <x:c r="H5" s="13">
        <x:f>QF.BS.GREEKS("C",Spot,C5,Maturity,Rate,DivYield,Vol,"Gamma")</x:f>
      </x:c>
      <x:c r="I5" s="13">
        <x:f>QF.BS.GREEKS("C",Spot,C5,Maturity,Rate,DivYield,Vol,"Vega")/100</x:f>
      </x:c>
      <x:c r="J5" s="14">
        <x:f>D5-E5-(Spot*EXP(-DivYield*Maturity)-C5*EXP(-Rate*Maturity))</x:f>
      </x:c>
    </x:row>
    <x:row r="6" spans="1:10">
      <x:c r="B6" s="24">
        <x:v>0.75</x:v>
      </x:c>
      <x:c r="C6" s="25">
        <x:f>ROUND(Spot*B6,2)</x:f>
      </x:c>
      <x:c r="D6" s="13">
        <x:f>QF.BS.PRICE("C",Spot,C6,Maturity,Rate,DivYield,Vol)</x:f>
      </x:c>
      <x:c r="E6" s="13">
        <x:f>QF.BS.PRICE("P",Spot,C6,Maturity,Rate,DivYield,Vol)</x:f>
      </x:c>
      <x:c r="F6" s="13">
        <x:f>QF.BS.GREEKS("C",Spot,C6,Maturity,Rate,DivYield,Vol,"Delta")</x:f>
      </x:c>
      <x:c r="G6" s="13">
        <x:f>QF.BS.GREEKS("P",Spot,C6,Maturity,Rate,DivYield,Vol,"Delta")</x:f>
      </x:c>
      <x:c r="H6" s="13">
        <x:f>QF.BS.GREEKS("C",Spot,C6,Maturity,Rate,DivYield,Vol,"Gamma")</x:f>
      </x:c>
      <x:c r="I6" s="13">
        <x:f>QF.BS.GREEKS("C",Spot,C6,Maturity,Rate,DivYield,Vol,"Vega")/100</x:f>
      </x:c>
      <x:c r="J6" s="14">
        <x:f>D6-E6-(Spot*EXP(-DivYield*Maturity)-C6*EXP(-Rate*Maturity))</x:f>
      </x:c>
    </x:row>
    <x:row r="7" spans="1:10">
      <x:c r="B7" s="24">
        <x:v>0.8</x:v>
      </x:c>
      <x:c r="C7" s="25">
        <x:f>ROUND(Spot*B7,2)</x:f>
      </x:c>
      <x:c r="D7" s="13">
        <x:f>QF.BS.PRICE("C",Spot,C7,Maturity,Rate,DivYield,Vol)</x:f>
      </x:c>
      <x:c r="E7" s="13">
        <x:f>QF.BS.PRICE("P",Spot,C7,Maturity,Rate,DivYield,Vol)</x:f>
      </x:c>
      <x:c r="F7" s="13">
        <x:f>QF.BS.GREEKS("C",Spot,C7,Maturity,Rate,DivYield,Vol,"Delta")</x:f>
      </x:c>
      <x:c r="G7" s="13">
        <x:f>QF.BS.GREEKS("P",Spot,C7,Maturity,Rate,DivYield,Vol,"Delta")</x:f>
      </x:c>
      <x:c r="H7" s="13">
        <x:f>QF.BS.GREEKS("C",Spot,C7,Maturity,Rate,DivYield,Vol,"Gamma")</x:f>
      </x:c>
      <x:c r="I7" s="13">
        <x:f>QF.BS.GREEKS("C",Spot,C7,Maturity,Rate,DivYield,Vol,"Vega")/100</x:f>
      </x:c>
      <x:c r="J7" s="14">
        <x:f>D7-E7-(Spot*EXP(-DivYield*Maturity)-C7*EXP(-Rate*Maturity))</x:f>
      </x:c>
    </x:row>
    <x:row r="8" spans="1:10">
      <x:c r="B8" s="24">
        <x:v>0.85</x:v>
      </x:c>
      <x:c r="C8" s="25">
        <x:f>ROUND(Spot*B8,2)</x:f>
      </x:c>
      <x:c r="D8" s="13">
        <x:f>QF.BS.PRICE("C",Spot,C8,Maturity,Rate,DivYield,Vol)</x:f>
      </x:c>
      <x:c r="E8" s="13">
        <x:f>QF.BS.PRICE("P",Spot,C8,Maturity,Rate,DivYield,Vol)</x:f>
      </x:c>
      <x:c r="F8" s="13">
        <x:f>QF.BS.GREEKS("C",Spot,C8,Maturity,Rate,DivYield,Vol,"Delta")</x:f>
      </x:c>
      <x:c r="G8" s="13">
        <x:f>QF.BS.GREEKS("P",Spot,C8,Maturity,Rate,DivYield,Vol,"Delta")</x:f>
      </x:c>
      <x:c r="H8" s="13">
        <x:f>QF.BS.GREEKS("C",Spot,C8,Maturity,Rate,DivYield,Vol,"Gamma")</x:f>
      </x:c>
      <x:c r="I8" s="13">
        <x:f>QF.BS.GREEKS("C",Spot,C8,Maturity,Rate,DivYield,Vol,"Vega")/100</x:f>
      </x:c>
      <x:c r="J8" s="14">
        <x:f>D8-E8-(Spot*EXP(-DivYield*Maturity)-C8*EXP(-Rate*Maturity))</x:f>
      </x:c>
    </x:row>
    <x:row r="9" spans="1:10">
      <x:c r="B9" s="24">
        <x:v>0.9</x:v>
      </x:c>
      <x:c r="C9" s="25">
        <x:f>ROUND(Spot*B9,2)</x:f>
      </x:c>
      <x:c r="D9" s="13">
        <x:f>QF.BS.PRICE("C",Spot,C9,Maturity,Rate,DivYield,Vol)</x:f>
      </x:c>
      <x:c r="E9" s="13">
        <x:f>QF.BS.PRICE("P",Spot,C9,Maturity,Rate,DivYield,Vol)</x:f>
      </x:c>
      <x:c r="F9" s="13">
        <x:f>QF.BS.GREEKS("C",Spot,C9,Maturity,Rate,DivYield,Vol,"Delta")</x:f>
      </x:c>
      <x:c r="G9" s="13">
        <x:f>QF.BS.GREEKS("P",Spot,C9,Maturity,Rate,DivYield,Vol,"Delta")</x:f>
      </x:c>
      <x:c r="H9" s="13">
        <x:f>QF.BS.GREEKS("C",Spot,C9,Maturity,Rate,DivYield,Vol,"Gamma")</x:f>
      </x:c>
      <x:c r="I9" s="13">
        <x:f>QF.BS.GREEKS("C",Spot,C9,Maturity,Rate,DivYield,Vol,"Vega")/100</x:f>
      </x:c>
      <x:c r="J9" s="14">
        <x:f>D9-E9-(Spot*EXP(-DivYield*Maturity)-C9*EXP(-Rate*Maturity))</x:f>
      </x:c>
    </x:row>
    <x:row r="10" spans="1:10">
      <x:c r="B10" s="24">
        <x:v>0.95</x:v>
      </x:c>
      <x:c r="C10" s="25">
        <x:f>ROUND(Spot*B10,2)</x:f>
      </x:c>
      <x:c r="D10" s="13">
        <x:f>QF.BS.PRICE("C",Spot,C10,Maturity,Rate,DivYield,Vol)</x:f>
      </x:c>
      <x:c r="E10" s="13">
        <x:f>QF.BS.PRICE("P",Spot,C10,Maturity,Rate,DivYield,Vol)</x:f>
      </x:c>
      <x:c r="F10" s="13">
        <x:f>QF.BS.GREEKS("C",Spot,C10,Maturity,Rate,DivYield,Vol,"Delta")</x:f>
      </x:c>
      <x:c r="G10" s="13">
        <x:f>QF.BS.GREEKS("P",Spot,C10,Maturity,Rate,DivYield,Vol,"Delta")</x:f>
      </x:c>
      <x:c r="H10" s="13">
        <x:f>QF.BS.GREEKS("C",Spot,C10,Maturity,Rate,DivYield,Vol,"Gamma")</x:f>
      </x:c>
      <x:c r="I10" s="13">
        <x:f>QF.BS.GREEKS("C",Spot,C10,Maturity,Rate,DivYield,Vol,"Vega")/100</x:f>
      </x:c>
      <x:c r="J10" s="14">
        <x:f>D10-E10-(Spot*EXP(-DivYield*Maturity)-C10*EXP(-Rate*Maturity))</x:f>
      </x:c>
    </x:row>
    <x:row r="11" spans="1:10">
      <x:c r="B11" s="24">
        <x:v>1</x:v>
      </x:c>
      <x:c r="C11" s="25">
        <x:f>ROUND(Spot*B11,2)</x:f>
      </x:c>
      <x:c r="D11" s="13">
        <x:f>QF.BS.PRICE("C",Spot,C11,Maturity,Rate,DivYield,Vol)</x:f>
      </x:c>
      <x:c r="E11" s="13">
        <x:f>QF.BS.PRICE("P",Spot,C11,Maturity,Rate,DivYield,Vol)</x:f>
      </x:c>
      <x:c r="F11" s="13">
        <x:f>QF.BS.GREEKS("C",Spot,C11,Maturity,Rate,DivYield,Vol,"Delta")</x:f>
      </x:c>
      <x:c r="G11" s="13">
        <x:f>QF.BS.GREEKS("P",Spot,C11,Maturity,Rate,DivYield,Vol,"Delta")</x:f>
      </x:c>
      <x:c r="H11" s="13">
        <x:f>QF.BS.GREEKS("C",Spot,C11,Maturity,Rate,DivYield,Vol,"Gamma")</x:f>
      </x:c>
      <x:c r="I11" s="13">
        <x:f>QF.BS.GREEKS("C",Spot,C11,Maturity,Rate,DivYield,Vol,"Vega")/100</x:f>
      </x:c>
      <x:c r="J11" s="14">
        <x:f>D11-E11-(Spot*EXP(-DivYield*Maturity)-C11*EXP(-Rate*Maturity))</x:f>
      </x:c>
    </x:row>
    <x:row r="12" spans="1:10">
      <x:c r="B12" s="24">
        <x:v>1.05</x:v>
      </x:c>
      <x:c r="C12" s="25">
        <x:f>ROUND(Spot*B12,2)</x:f>
      </x:c>
      <x:c r="D12" s="13">
        <x:f>QF.BS.PRICE("C",Spot,C12,Maturity,Rate,DivYield,Vol)</x:f>
      </x:c>
      <x:c r="E12" s="13">
        <x:f>QF.BS.PRICE("P",Spot,C12,Maturity,Rate,DivYield,Vol)</x:f>
      </x:c>
      <x:c r="F12" s="13">
        <x:f>QF.BS.GREEKS("C",Spot,C12,Maturity,Rate,DivYield,Vol,"Delta")</x:f>
      </x:c>
      <x:c r="G12" s="13">
        <x:f>QF.BS.GREEKS("P",Spot,C12,Maturity,Rate,DivYield,Vol,"Delta")</x:f>
      </x:c>
      <x:c r="H12" s="13">
        <x:f>QF.BS.GREEKS("C",Spot,C12,Maturity,Rate,DivYield,Vol,"Gamma")</x:f>
      </x:c>
      <x:c r="I12" s="13">
        <x:f>QF.BS.GREEKS("C",Spot,C12,Maturity,Rate,DivYield,Vol,"Vega")/100</x:f>
      </x:c>
      <x:c r="J12" s="14">
        <x:f>D12-E12-(Spot*EXP(-DivYield*Maturity)-C12*EXP(-Rate*Maturity))</x:f>
      </x:c>
    </x:row>
    <x:row r="13" spans="1:10">
      <x:c r="B13" s="24">
        <x:v>1.1</x:v>
      </x:c>
      <x:c r="C13" s="25">
        <x:f>ROUND(Spot*B13,2)</x:f>
      </x:c>
      <x:c r="D13" s="13">
        <x:f>QF.BS.PRICE("C",Spot,C13,Maturity,Rate,DivYield,Vol)</x:f>
      </x:c>
      <x:c r="E13" s="13">
        <x:f>QF.BS.PRICE("P",Spot,C13,Maturity,Rate,DivYield,Vol)</x:f>
      </x:c>
      <x:c r="F13" s="13">
        <x:f>QF.BS.GREEKS("C",Spot,C13,Maturity,Rate,DivYield,Vol,"Delta")</x:f>
      </x:c>
      <x:c r="G13" s="13">
        <x:f>QF.BS.GREEKS("P",Spot,C13,Maturity,Rate,DivYield,Vol,"Delta")</x:f>
      </x:c>
      <x:c r="H13" s="13">
        <x:f>QF.BS.GREEKS("C",Spot,C13,Maturity,Rate,DivYield,Vol,"Gamma")</x:f>
      </x:c>
      <x:c r="I13" s="13">
        <x:f>QF.BS.GREEKS("C",Spot,C13,Maturity,Rate,DivYield,Vol,"Vega")/100</x:f>
      </x:c>
      <x:c r="J13" s="14">
        <x:f>D13-E13-(Spot*EXP(-DivYield*Maturity)-C13*EXP(-Rate*Maturity))</x:f>
      </x:c>
    </x:row>
    <x:row r="14" spans="1:10">
      <x:c r="B14" s="24">
        <x:v>1.15</x:v>
      </x:c>
      <x:c r="C14" s="25">
        <x:f>ROUND(Spot*B14,2)</x:f>
      </x:c>
      <x:c r="D14" s="13">
        <x:f>QF.BS.PRICE("C",Spot,C14,Maturity,Rate,DivYield,Vol)</x:f>
      </x:c>
      <x:c r="E14" s="13">
        <x:f>QF.BS.PRICE("P",Spot,C14,Maturity,Rate,DivYield,Vol)</x:f>
      </x:c>
      <x:c r="F14" s="13">
        <x:f>QF.BS.GREEKS("C",Spot,C14,Maturity,Rate,DivYield,Vol,"Delta")</x:f>
      </x:c>
      <x:c r="G14" s="13">
        <x:f>QF.BS.GREEKS("P",Spot,C14,Maturity,Rate,DivYield,Vol,"Delta")</x:f>
      </x:c>
      <x:c r="H14" s="13">
        <x:f>QF.BS.GREEKS("C",Spot,C14,Maturity,Rate,DivYield,Vol,"Gamma")</x:f>
      </x:c>
      <x:c r="I14" s="13">
        <x:f>QF.BS.GREEKS("C",Spot,C14,Maturity,Rate,DivYield,Vol,"Vega")/100</x:f>
      </x:c>
      <x:c r="J14" s="14">
        <x:f>D14-E14-(Spot*EXP(-DivYield*Maturity)-C14*EXP(-Rate*Maturity))</x:f>
      </x:c>
    </x:row>
    <x:row r="15" spans="1:10">
      <x:c r="B15" s="24">
        <x:v>1.2</x:v>
      </x:c>
      <x:c r="C15" s="25">
        <x:f>ROUND(Spot*B15,2)</x:f>
      </x:c>
      <x:c r="D15" s="13">
        <x:f>QF.BS.PRICE("C",Spot,C15,Maturity,Rate,DivYield,Vol)</x:f>
      </x:c>
      <x:c r="E15" s="13">
        <x:f>QF.BS.PRICE("P",Spot,C15,Maturity,Rate,DivYield,Vol)</x:f>
      </x:c>
      <x:c r="F15" s="13">
        <x:f>QF.BS.GREEKS("C",Spot,C15,Maturity,Rate,DivYield,Vol,"Delta")</x:f>
      </x:c>
      <x:c r="G15" s="13">
        <x:f>QF.BS.GREEKS("P",Spot,C15,Maturity,Rate,DivYield,Vol,"Delta")</x:f>
      </x:c>
      <x:c r="H15" s="13">
        <x:f>QF.BS.GREEKS("C",Spot,C15,Maturity,Rate,DivYield,Vol,"Gamma")</x:f>
      </x:c>
      <x:c r="I15" s="13">
        <x:f>QF.BS.GREEKS("C",Spot,C15,Maturity,Rate,DivYield,Vol,"Vega")/100</x:f>
      </x:c>
      <x:c r="J15" s="14">
        <x:f>D15-E15-(Spot*EXP(-DivYield*Maturity)-C15*EXP(-Rate*Maturity))</x:f>
      </x:c>
    </x:row>
    <x:row r="16" spans="1:10">
      <x:c r="B16" s="24">
        <x:v>1.25</x:v>
      </x:c>
      <x:c r="C16" s="25">
        <x:f>ROUND(Spot*B16,2)</x:f>
      </x:c>
      <x:c r="D16" s="13">
        <x:f>QF.BS.PRICE("C",Spot,C16,Maturity,Rate,DivYield,Vol)</x:f>
      </x:c>
      <x:c r="E16" s="13">
        <x:f>QF.BS.PRICE("P",Spot,C16,Maturity,Rate,DivYield,Vol)</x:f>
      </x:c>
      <x:c r="F16" s="13">
        <x:f>QF.BS.GREEKS("C",Spot,C16,Maturity,Rate,DivYield,Vol,"Delta")</x:f>
      </x:c>
      <x:c r="G16" s="13">
        <x:f>QF.BS.GREEKS("P",Spot,C16,Maturity,Rate,DivYield,Vol,"Delta")</x:f>
      </x:c>
      <x:c r="H16" s="13">
        <x:f>QF.BS.GREEKS("C",Spot,C16,Maturity,Rate,DivYield,Vol,"Gamma")</x:f>
      </x:c>
      <x:c r="I16" s="13">
        <x:f>QF.BS.GREEKS("C",Spot,C16,Maturity,Rate,DivYield,Vol,"Vega")/100</x:f>
      </x:c>
      <x:c r="J16" s="14">
        <x:f>D16-E16-(Spot*EXP(-DivYield*Maturity)-C16*EXP(-Rate*Maturity))</x:f>
      </x:c>
    </x:row>
    <x:row r="17" spans="1:10">
      <x:c r="B17" s="24">
        <x:v>1.3</x:v>
      </x:c>
      <x:c r="C17" s="25">
        <x:f>ROUND(Spot*B17,2)</x:f>
      </x:c>
      <x:c r="D17" s="13">
        <x:f>QF.BS.PRICE("C",Spot,C17,Maturity,Rate,DivYield,Vol)</x:f>
      </x:c>
      <x:c r="E17" s="13">
        <x:f>QF.BS.PRICE("P",Spot,C17,Maturity,Rate,DivYield,Vol)</x:f>
      </x:c>
      <x:c r="F17" s="13">
        <x:f>QF.BS.GREEKS("C",Spot,C17,Maturity,Rate,DivYield,Vol,"Delta")</x:f>
      </x:c>
      <x:c r="G17" s="13">
        <x:f>QF.BS.GREEKS("P",Spot,C17,Maturity,Rate,DivYield,Vol,"Delta")</x:f>
      </x:c>
      <x:c r="H17" s="13">
        <x:f>QF.BS.GREEKS("C",Spot,C17,Maturity,Rate,DivYield,Vol,"Gamma")</x:f>
      </x:c>
      <x:c r="I17" s="13">
        <x:f>QF.BS.GREEKS("C",Spot,C17,Maturity,Rate,DivYield,Vol,"Vega")/100</x:f>
      </x:c>
      <x:c r="J17" s="14">
        <x:f>D17-E17-(Spot*EXP(-DivYield*Maturity)-C17*EXP(-Rate*Maturity))</x:f>
      </x:c>
    </x:row>
    <x:row r="19" spans="1:10">
      <x:c r="B19" s="7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9">
      <vt:lpstr>About</vt:lpstr>
      <vt:lpstr>Pricing</vt:lpstr>
      <vt:lpstr>Ladder</vt:lpstr>
      <vt:lpstr>About!Print_Area</vt:lpstr>
      <vt:lpstr>About!Print_Titles</vt:lpstr>
      <vt:lpstr>Pricing!Print_Area</vt:lpstr>
      <vt:lpstr>Pricing!Print_Titles</vt:lpstr>
      <vt:lpstr>Ladder!Print_Area</vt:lpstr>
      <vt:lpstr>Ladder!Print_Titles</vt:lpstr>
      <vt:lpstr>Spot</vt:lpstr>
      <vt:lpstr>Strike</vt:lpstr>
      <vt:lpstr>Maturity</vt:lpstr>
      <vt:lpstr>Rate</vt:lpstr>
      <vt:lpstr>DivYield</vt:lpstr>
      <vt:lpstr>Vol</vt:lpstr>
      <vt:lpstr>OptType</vt:lpstr>
      <vt:lpstr>BsPrice</vt:lpstr>
      <vt:lpstr>Fwd</vt:lpstr>
      <vt:lpstr>DiscFactor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