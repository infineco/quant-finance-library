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officeDocument/2006/relationships/extended-properties" Target="/docProps/app.xml" Id="rId2" /><Relationship Type="http://schemas.openxmlformats.org/package/2006/relationships/metadata/core-properties" Target="/package/services/metadata/core-properties/core.psmdcp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out" sheetId="1" r:id="rId2"/>
    <x:sheet name="Smile" sheetId="2" r:id="rId3"/>
  </x:sheets>
  <x:definedNames>
    <x:definedName name="Spot">'Smile'!$C$5</x:definedName>
    <x:definedName name="Rate">'Smile'!$C$6</x:definedName>
    <x:definedName name="DivYield">'Smile'!$C$7</x:definedName>
    <x:definedName name="Maturity">'Smile'!$C$8</x:definedName>
    <x:definedName name="Fwd">'Smile'!$C$9</x:definedName>
    <x:definedName name="SviHandle">'Smile'!$C$10</x:definedName>
    <x:definedName name="Strikes">'Smile'!$B$13:$B$25</x:definedName>
    <x:definedName name="MarketVols">'Smile'!$E$13:$E$25</x:definedName>
  </x:definedNames>
  <x:calcPr calcId="125725" fullCalcOnLoad="1"/>
</x:workbook>
</file>

<file path=xl/calcChain.xml><?xml version="1.0" encoding="utf-8"?>
<x:calcChain xmlns:x="http://schemas.openxmlformats.org/spreadsheetml/2006/main">
  <x:c r="B25" i="1"/>
  <x:c r="B26" i="1"/>
  <x:c r="C9" i="2"/>
  <x:c r="C10" i="2"/>
  <x:c r="C13" i="2"/>
  <x:c r="E13" i="2"/>
  <x:c r="F13" i="2"/>
  <x:c r="G13" i="2"/>
  <x:c r="I13" i="2"/>
  <x:c r="J13" i="2"/>
  <x:c r="C14" i="2"/>
  <x:c r="E14" i="2"/>
  <x:c r="F14" i="2"/>
  <x:c r="G14" i="2"/>
  <x:c r="I14" i="2"/>
  <x:c r="J14" i="2"/>
  <x:c r="C15" i="2"/>
  <x:c r="E15" i="2"/>
  <x:c r="F15" i="2"/>
  <x:c r="G15" i="2"/>
  <x:c r="I15" i="2"/>
  <x:c r="J15" i="2"/>
  <x:c r="C16" i="2"/>
  <x:c r="E16" i="2"/>
  <x:c r="F16" i="2"/>
  <x:c r="G16" i="2"/>
  <x:c r="I16" i="2"/>
  <x:c r="J16" i="2"/>
  <x:c r="C17" i="2"/>
  <x:c r="E17" i="2"/>
  <x:c r="F17" i="2"/>
  <x:c r="G17" i="2"/>
  <x:c r="I17" i="2"/>
  <x:c r="J17" i="2"/>
  <x:c r="C18" i="2"/>
  <x:c r="E18" i="2"/>
  <x:c r="F18" i="2"/>
  <x:c r="G18" i="2"/>
  <x:c r="I18" i="2"/>
  <x:c r="J18" i="2"/>
  <x:c r="C19" i="2"/>
  <x:c r="E19" i="2"/>
  <x:c r="F19" i="2"/>
  <x:c r="G19" i="2"/>
  <x:c r="I19" i="2"/>
  <x:c r="J19" i="2"/>
  <x:c r="C20" i="2"/>
  <x:c r="E20" i="2"/>
  <x:c r="F20" i="2"/>
  <x:c r="G20" i="2"/>
  <x:c r="I20" i="2"/>
  <x:c r="J20" i="2"/>
  <x:c r="C21" i="2"/>
  <x:c r="E21" i="2"/>
  <x:c r="F21" i="2"/>
  <x:c r="G21" i="2"/>
  <x:c r="I21" i="2"/>
  <x:c r="J21" i="2"/>
  <x:c r="C22" i="2"/>
  <x:c r="E22" i="2"/>
  <x:c r="F22" i="2"/>
  <x:c r="G22" i="2"/>
  <x:c r="I22" i="2"/>
  <x:c r="J22" i="2"/>
  <x:c r="C23" i="2"/>
  <x:c r="E23" i="2"/>
  <x:c r="F23" i="2"/>
  <x:c r="G23" i="2"/>
  <x:c r="I23" i="2"/>
  <x:c r="J23" i="2"/>
  <x:c r="C24" i="2"/>
  <x:c r="E24" i="2"/>
  <x:c r="F24" i="2"/>
  <x:c r="G24" i="2"/>
  <x:c r="I24" i="2"/>
  <x:c r="J24" i="2"/>
  <x:c r="C25" i="2"/>
  <x:c r="E25" i="2"/>
  <x:c r="F25" i="2"/>
  <x:c r="G25" i="2"/>
  <x:c r="I25" i="2"/>
  <x:c r="J25" i="2"/>
  <x:c r="I26" i="2"/>
  <x:c r="J26" i="2"/>
  <x:c r="I27" i="2"/>
  <x:c r="J27" i="2"/>
  <x:c r="C28" i="2"/>
  <x:c r="I28" i="2"/>
  <x:c r="J28" i="2"/>
  <x:c r="C29" i="2"/>
  <x:c r="I29" i="2"/>
  <x:c r="J29" i="2"/>
  <x:c r="C30" i="2"/>
  <x:c r="I30" i="2"/>
  <x:c r="J30" i="2"/>
  <x:c r="I31" i="2"/>
  <x:c r="J31" i="2"/>
  <x:c r="I32" i="2"/>
  <x:c r="J32" i="2"/>
  <x:c r="I33" i="2"/>
  <x:c r="J33" i="2"/>
  <x:c r="I34" i="2"/>
  <x:c r="J34" i="2"/>
  <x:c r="I35" i="2"/>
  <x:c r="J35" i="2"/>
  <x:c r="I36" i="2"/>
  <x:c r="J36" i="2"/>
  <x:c r="I37" i="2"/>
  <x:c r="J37" i="2"/>
  <x:c r="I38" i="2"/>
  <x:c r="J38" i="2"/>
  <x:c r="I39" i="2"/>
  <x:c r="J39" i="2"/>
  <x:c r="I40" i="2"/>
  <x:c r="J40" i="2"/>
  <x:c r="I41" i="2"/>
  <x:c r="J41" i="2"/>
  <x:c r="I42" i="2"/>
  <x:c r="J42" i="2"/>
  <x:c r="I43" i="2"/>
  <x:c r="J43" i="2"/>
  <x:c r="I44" i="2"/>
  <x:c r="J44" i="2"/>
  <x:c r="I45" i="2"/>
  <x:c r="J45" i="2"/>
  <x:c r="I46" i="2"/>
  <x:c r="J46" i="2"/>
  <x:c r="I47" i="2"/>
  <x:c r="J47" i="2"/>
  <x:c r="I48" i="2"/>
  <x:c r="J48" i="2"/>
  <x:c r="I49" i="2"/>
  <x:c r="J49" i="2"/>
  <x:c r="I50" i="2"/>
  <x:c r="J50" i="2"/>
  <x:c r="I51" i="2"/>
  <x:c r="J51" i="2"/>
  <x:c r="I52" i="2"/>
  <x:c r="J52" i="2"/>
  <x:c r="I53" i="2"/>
  <x:c r="J53" i="2"/>
  <x:c r="I54" i="2"/>
  <x:c r="J54" i="2"/>
  <x:c r="I55" i="2"/>
  <x:c r="J55" i="2"/>
  <x:c r="I56" i="2"/>
  <x:c r="J56" i="2"/>
  <x:c r="I57" i="2"/>
  <x:c r="J57" i="2"/>
  <x:c r="I58" i="2"/>
  <x:c r="J58" i="2"/>
  <x:c r="I59" i="2"/>
  <x:c r="J59" i="2"/>
  <x:c r="I60" i="2"/>
  <x:c r="J60" i="2"/>
  <x:c r="I61" i="2"/>
  <x:c r="J61" i="2"/>
  <x:c r="I62" i="2"/>
  <x:c r="J62" i="2"/>
  <x:c r="I63" i="2"/>
  <x:c r="J63" i="2"/>
  <x:c r="I64" i="2"/>
  <x:c r="J64" i="2"/>
  <x:c r="I65" i="2"/>
  <x:c r="J65" i="2"/>
  <x:c r="I66" i="2"/>
  <x:c r="J66" i="2"/>
  <x:c r="I67" i="2"/>
  <x:c r="J67" i="2"/>
  <x:c r="I68" i="2"/>
  <x:c r="J68" i="2"/>
  <x:c r="I69" i="2"/>
  <x:c r="J69" i="2"/>
  <x:c r="I70" i="2"/>
  <x:c r="J70" i="2"/>
  <x:c r="I71" i="2"/>
  <x:c r="J71" i="2"/>
  <x:c r="I72" i="2"/>
  <x:c r="J72" i="2"/>
  <x:c r="I73" i="2"/>
  <x:c r="J73" i="2"/>
</x:calcChain>
</file>

<file path=xl/sharedStrings.xml><?xml version="1.0" encoding="utf-8"?>
<x:sst xmlns:x="http://schemas.openxmlformats.org/spreadsheetml/2006/main">
  <x:si>
    <x:t>Implied volatility smile and SVI fit</x:t>
  </x:si>
  <x:si>
    <x:t>From a strip of option prices to implied volatilities (QF.IMPLIEDVOL), then a raw-SVI smile fitted to them (QF.SVI.FIT) and read back on the same strikes (QF.SURFACE.VOL), with the fit residuals.</x:t>
  </x:si>
  <x:si>
    <x:t>What is in this workbook</x:t>
  </x:si>
  <x:si>
    <x:t xml:space="preserve">   Smile: the market data (spot, rates, expiry and 13 option prices), the implied vol of each price, the SVI handle, the fitted vols, the residuals in vol points, and a dense strike grid for the fitted curve.</x:t>
  </x:si>
  <x:si>
    <x:t xml:space="preserve">   Charts: market implied vols against the SVI curve, and the residuals.</x:t>
  </x:si>
  <x:si>
    <x:t>The prices are static numbers (rounded to four decimals), computed from a known raw-SVI smile with a 0.1 vol-point wiggle, so the implied vols and the fit are meaningful: a=0.008, b=0.06, rho=-0.5, m=0, sigma=0.2 on total variance at T=0.5.</x:t>
  </x:si>
  <x:si>
    <x:t>Out-of-the-money options are used (puts below the forward, calls above), as a desk would quote them.</x:t>
  </x:si>
  <x:si>
    <x:t>Functions used: QF.IMPLIEDVOL, QF.SVI.FIT, QF.SURFACE.VOL. The SVI object is named SAMPLE02_SVI: object names are global to the Excel session, so do not open two copies of this workbook at once.</x:t>
  </x:si>
  <x:si>
    <x:t>Before you start</x:t>
  </x:si>
  <x:si>
    <x:t xml:space="preserve">   1. The numbers appear only when the InFine QuantFinance add-in (an Excel-DNA .xll, Windows, 64-bit Excel) is loaded. Without it, every QF.* cell shows #NAME?.</x:t>
  </x:si>
  <x:si>
    <x:t xml:space="preserve">   2. Build or download the packed add-in, unblock the file (right-click, Properties, Unblock), then File &gt; Options &gt; Add-ins &gt; Manage Excel Add-ins &gt; Go &gt; Browse and pick the .xll.</x:t>
  </x:si>
  <x:si>
    <x:t xml:space="preserve">   3. Open this workbook. If cells still show #NAME? or #REF!, press Ctrl+Alt+F9 (full recalculation): objects such as curves and covariance matrices are kept in memory and are rebuilt by the cells that create them.</x:t>
  </x:si>
  <x:si>
    <x:t xml:space="preserve">   4. Full instructions, the function reference and the conventions are in docs/excel.md:</x:t>
  </x:si>
  <x:si>
    <x:t xml:space="preserve">   https://github.com/infineco/quant-finance-library/blob/main/docs/excel.md</x:t>
  </x:si>
  <x:si>
    <x:t>Colour code</x:t>
  </x:si>
  <x:si>
    <x:t xml:space="preserve">   Blue on pale yellow: an input, type over it.</x:t>
  </x:si>
  <x:si>
    <x:t xml:space="preserve">   Black on white: a formula, do not overwrite it. Cells that start a QF.* block are Ctrl+Shift+Enter array formulas ({=...}).</x:t>
  </x:si>
  <x:si>
    <x:t>Diagnostics</x:t>
  </x:si>
  <x:si>
    <x:t xml:space="preserve">   Tip: a cell can only show #VALUE!, #NUM! or #REF!. When a QF.* cell fails, type =QF.LASTERROR() in a free cell to read the reason, with the function and the argument name (it is the last failure of any QF function).</x:t>
  </x:si>
  <x:si>
    <x:t>All market data in these workbooks is synthetic or illustrative; it is not a recommendation and not a market quote.</x:t>
  </x:si>
  <x:si>
    <x:t>Yellow cells are inputs (the market); everything else is computed by the add-in.</x:t>
  </x:si>
  <x:si>
    <x:t>Market</x:t>
  </x:si>
  <x:si>
    <x:t>Value</x:t>
  </x:si>
  <x:si>
    <x:t>Spot S</x:t>
  </x:si>
  <x:si>
    <x:t>Risk-free rate r (continuous)</x:t>
  </x:si>
  <x:si>
    <x:t>Dividend yield q (continuous)</x:t>
  </x:si>
  <x:si>
    <x:t>Maturity T (years)</x:t>
  </x:si>
  <x:si>
    <x:t>Forward F = S e^((r-q)T)</x:t>
  </x:si>
  <x:si>
    <x:t>SVI surface handle</x:t>
  </x:si>
  <x:si>
    <x:t>kind:name#version; changes whenever the fit inputs change</x:t>
  </x:si>
  <x:si>
    <x:t>Strike</x:t>
  </x:si>
  <x:si>
    <x:t>Type</x:t>
  </x:si>
  <x:si>
    <x:t>Market price</x:t>
  </x:si>
  <x:si>
    <x:t>Implied vol</x:t>
  </x:si>
  <x:si>
    <x:t>SVI vol</x:t>
  </x:si>
  <x:si>
    <x:t>Residual (vol points)</x:t>
  </x:si>
  <x:si>
    <x:t>Fit quality</x:t>
  </x:si>
  <x:si>
    <x:t>RMSE of the residuals (vol points)</x:t>
  </x:si>
  <x:si>
    <x:t>Largest residual (vol points)</x:t>
  </x:si>
  <x:si>
    <x:t>Fitted at-the-money-forward vol</x:t>
  </x:si>
  <x:si>
    <x:t>QF.OBJ.INFO(handle) (Excel 365: type it in a free cell) lists the fitted SVI parameters and the fit quality.</x:t>
  </x:si>
  <x:si>
    <x:t>The residual is fitted minus market. The wiggle added to the market vols is the only thing the smooth SVI curve cannot follow.</x:t>
  </x:si>
  <x:si>
    <x:t>Strike grid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</x:si>
</x:sst>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0.00"/>
    <x:numFmt numFmtId="165" formatCode="0.00%"/>
    <x:numFmt numFmtId="166" formatCode="0.0000"/>
    <x:numFmt numFmtId="167" formatCode="0.000"/>
    <x:numFmt numFmtId="168" formatCode="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F3864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  <x:font>
      <x:vertAlign val="baseline"/>
      <x:sz val="11"/>
      <x:color rgb="FF0000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59595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4" fontId="4" fillId="3" borderId="1" applyNumberFormat="1" applyFill="0" applyBorder="1" applyAlignment="1" applyProtection="1">
      <x:protection locked="1" hidden="0"/>
    </x:xf>
    <x:xf numFmtId="165" fontId="4" fillId="3" borderId="1" applyNumberFormat="1" applyFill="0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4" fillId="3" borderId="1" applyNumberFormat="1" applyFill="0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  <x:xf numFmtId="168" fontId="0" fillId="0" borderId="1" applyNumberFormat="1" applyFill="1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7" /><Relationship Type="http://schemas.openxmlformats.org/officeDocument/2006/relationships/theme" Target="/xl/theme/theme1.xml" Id="rId8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Implied volatility smile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Market implied vol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C55A11"/>
              </a:solidFill>
              <a:ln w="9525">
                <a:solidFill>
                  <a:srgbClr val="C55A11"/>
                </a:solidFill>
              </a:ln>
            </c:spPr>
          </c:marker>
          <c:xVal>
            <c:numRef>
              <c:f>'Smile'!$B$13:$B$25</c:f>
            </c:numRef>
          </c:xVal>
          <c:yVal>
            <c:numRef>
              <c:f>'Smile'!$E$13:$E$25</c:f>
            </c:numRef>
          </c:yVal>
          <c:smooth val="0"/>
        </c:ser>
        <c:ser>
          <c:idx val="1"/>
          <c:order val="1"/>
          <c:tx>
            <c:v>SVI fit</c:v>
          </c:tx>
          <c:spPr>
            <a:ln w="22225" cap="rnd">
              <a:solidFill>
                <a:srgbClr val="1F4E79"/>
              </a:solidFill>
              <a:round/>
            </a:ln>
          </c:spPr>
          <c:marker>
            <c:symbol val="none"/>
          </c:marker>
          <c:xVal>
            <c:numRef>
              <c:f>'Smile'!$I$13:$I$73</c:f>
            </c:numRef>
          </c:xVal>
          <c:yVal>
            <c:numRef>
              <c:f>'Smile'!$J$13:$J$73</c:f>
            </c:numRef>
          </c:yVal>
          <c:smooth val="0"/>
        </c:ser>
        <c:axId val="50010"/>
        <c:axId val="50020"/>
      </c:scatterChart>
      <c:valAx>
        <c:axId val="50010"/>
        <c:scaling>
          <c:orientation val="minMax"/>
          <c:max val="130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Strike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low"/>
        <c:crossAx val="50020"/>
        <c:crosses val="autoZero"/>
        <c:crossBetween val="midCat"/>
      </c:valAx>
      <c:valAx>
        <c:axId val="50020"/>
        <c:scaling>
          <c:orientation val="minMax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Implied volatility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low"/>
        <c:crossAx val="50010"/>
        <c:crosses val="autoZero"/>
        <c:crossBetween val="midCat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SVI residuals (fitted - market)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</c:v>
          </c:tx>
          <c:spPr>
            <a:ln w="22225" cap="rnd">
              <a:solidFill>
                <a:srgbClr val="1F4E79"/>
              </a:solidFill>
              <a:round/>
            </a:ln>
          </c:spPr>
          <c:marker>
            <c:symbol val="circle"/>
            <c:size val="6"/>
            <c:spPr>
              <a:solidFill>
                <a:srgbClr val="1F4E79"/>
              </a:solidFill>
              <a:ln w="9525">
                <a:solidFill>
                  <a:srgbClr val="1F4E79"/>
                </a:solidFill>
              </a:ln>
            </c:spPr>
          </c:marker>
          <c:xVal>
            <c:numRef>
              <c:f>'Smile'!$B$13:$B$25</c:f>
            </c:numRef>
          </c:xVal>
          <c:yVal>
            <c:numRef>
              <c:f>'Smile'!$G$13:$G$25</c:f>
            </c:numRef>
          </c:yVal>
          <c:smooth val="0"/>
        </c:ser>
        <c:axId val="50010"/>
        <c:axId val="50020"/>
      </c:scatterChart>
      <c:valAx>
        <c:axId val="50010"/>
        <c:scaling>
          <c:orientation val="minMax"/>
          <c:max val="130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Strike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low"/>
        <c:crossAx val="50020"/>
        <c:crosses val="autoZero"/>
        <c:crossBetween val="midCat"/>
      </c:valAx>
      <c:valAx>
        <c:axId val="50020"/>
        <c:scaling>
          <c:orientation val="minMax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Vol points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low"/>
        <c:crossAx val="50010"/>
        <c:crosses val="autoZero"/>
        <c:crossBetween val="midCat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19</xdr:col>
      <xdr:colOff>0</xdr:colOff>
      <xdr:row>38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/infineco/quant-finance-library/blob/main/docs/excel.md" TargetMode="External" Id="rId6" /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F7F7F"/>
    <x:outlinePr summaryBelow="1" summaryRight="1"/>
  </x:sheetPr>
  <x:dimension ref="A1:B29"/>
  <x:sheetViews>
    <x:sheetView showGridLines="0" workbookViewId="0"/>
  </x:sheetViews>
  <x:sheetFormatPr defaultRowHeight="15"/>
  <x:cols>
    <x:col min="1" max="1" width="2.710625" style="0" customWidth="1"/>
    <x:col min="2" max="2" width="118.710625" style="0" customWidth="1"/>
  </x:cols>
  <x:sheetData>
    <x:row r="2" spans="1:2">
      <x:c r="B2" s="1" t="s">
        <x:v>0</x:v>
      </x:c>
    </x:row>
    <x:row r="3" spans="1:2">
      <x:c r="B3" s="2" t="s">
        <x:v>1</x:v>
      </x:c>
    </x:row>
    <x:row r="5" spans="1:2">
      <x:c r="B5" s="3" t="s">
        <x:v>2</x:v>
      </x:c>
    </x:row>
    <x:row r="6" spans="1:2">
      <x:c r="B6" s="2" t="s">
        <x:v>3</x:v>
      </x:c>
    </x:row>
    <x:row r="7" spans="1:2">
      <x:c r="B7" s="2" t="s">
        <x:v>4</x:v>
      </x:c>
    </x:row>
    <x:row r="9" spans="1:2">
      <x:c r="B9" s="2" t="s">
        <x:v>5</x:v>
      </x:c>
    </x:row>
    <x:row r="10" spans="1:2">
      <x:c r="B10" s="2" t="s">
        <x:v>6</x:v>
      </x:c>
    </x:row>
    <x:row r="11" spans="1:2">
      <x:c r="B11" s="2" t="s">
        <x:v>7</x:v>
      </x:c>
    </x:row>
    <x:row r="13" spans="1:2">
      <x:c r="B13" s="3" t="s">
        <x:v>8</x:v>
      </x:c>
    </x:row>
    <x:row r="14" spans="1:2">
      <x:c r="B14" s="2" t="s">
        <x:v>9</x:v>
      </x:c>
    </x:row>
    <x:row r="15" spans="1:2">
      <x:c r="B15" s="2" t="s">
        <x:v>10</x:v>
      </x:c>
    </x:row>
    <x:row r="16" spans="1:2">
      <x:c r="B16" s="2" t="s">
        <x:v>11</x:v>
      </x:c>
    </x:row>
    <x:row r="17" spans="1:2">
      <x:c r="B17" s="2" t="s">
        <x:v>12</x:v>
      </x:c>
    </x:row>
    <x:row r="18" spans="1:2">
      <x:c r="B18" s="4" t="s">
        <x:v>13</x:v>
      </x:c>
    </x:row>
    <x:row r="20" spans="1:2">
      <x:c r="B20" s="3" t="s">
        <x:v>14</x:v>
      </x:c>
    </x:row>
    <x:row r="21" spans="1:2">
      <x:c r="B21" s="5" t="s">
        <x:v>15</x:v>
      </x:c>
    </x:row>
    <x:row r="22" spans="1:2">
      <x:c r="B22" s="0" t="s">
        <x:v>16</x:v>
      </x:c>
    </x:row>
    <x:row r="24" spans="1:2">
      <x:c r="B24" s="3" t="s">
        <x:v>17</x:v>
      </x:c>
    </x:row>
    <x:row r="25" spans="1:2">
      <x:c r="B25" s="6">
        <x:f>"   Add-in status: "&amp;IF(ISERROR(QF.VERSION()),"NOT LOADED (QF.* cells show #NAME?)","loaded, version "&amp;QF.VERSION())</x:f>
      </x:c>
    </x:row>
    <x:row r="26" spans="1:2">
      <x:c r="B26" s="0">
        <x:f>"   Last error reported by the add-in (QF.LASTERROR): "&amp;IFERROR(QF.LASTERROR(),"(add-in not loaded)")</x:f>
      </x:c>
    </x:row>
    <x:row r="27" spans="1:2">
      <x:c r="B27" s="2" t="s">
        <x:v>18</x:v>
      </x:c>
    </x:row>
    <x:row r="29" spans="1:2">
      <x:c r="B29" s="2" t="s">
        <x:v>19</x:v>
      </x:c>
    </x:row>
  </x:sheetData>
  <x:hyperlinks>
    <x:hyperlink ref="B18" r:id="rId6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3"/>
  <x:sheetViews>
    <x:sheetView showGridLines="0" workbookViewId="0"/>
  </x:sheetViews>
  <x:sheetFormatPr defaultRowHeight="15"/>
  <x:cols>
    <x:col min="1" max="1" width="2.710625" style="0" customWidth="1"/>
    <x:col min="2" max="2" width="34.710625" style="0" customWidth="1"/>
    <x:col min="3" max="3" width="12.710625" style="0" customWidth="1"/>
    <x:col min="4" max="6" width="14.710625" style="0" customWidth="1"/>
    <x:col min="7" max="7" width="16.710625" style="0" customWidth="1"/>
    <x:col min="8" max="8" width="4.710625" style="0" customWidth="1"/>
    <x:col min="9" max="9" width="12.710625" style="0" customWidth="1"/>
    <x:col min="10" max="10" width="14.710625" style="0" customWidth="1"/>
  </x:cols>
  <x:sheetData>
    <x:row r="1" spans="1:10">
      <x:c r="B1" s="1" t="s">
        <x:v>0</x:v>
      </x:c>
    </x:row>
    <x:row r="2" spans="1:10">
      <x:c r="B2" s="7" t="s">
        <x:v>20</x:v>
      </x:c>
    </x:row>
    <x:row r="4" spans="1:10">
      <x:c r="B4" s="8" t="s">
        <x:v>21</x:v>
      </x:c>
      <x:c r="C4" s="9" t="s">
        <x:v>22</x:v>
      </x:c>
    </x:row>
    <x:row r="5" spans="1:10">
      <x:c r="B5" s="0" t="s">
        <x:v>23</x:v>
      </x:c>
      <x:c r="C5" s="10">
        <x:v>100</x:v>
      </x:c>
    </x:row>
    <x:row r="6" spans="1:10">
      <x:c r="B6" s="0" t="s">
        <x:v>24</x:v>
      </x:c>
      <x:c r="C6" s="11">
        <x:v>0.03</x:v>
      </x:c>
    </x:row>
    <x:row r="7" spans="1:10">
      <x:c r="B7" s="0" t="s">
        <x:v>25</x:v>
      </x:c>
      <x:c r="C7" s="11">
        <x:v>0.01</x:v>
      </x:c>
    </x:row>
    <x:row r="8" spans="1:10">
      <x:c r="B8" s="0" t="s">
        <x:v>26</x:v>
      </x:c>
      <x:c r="C8" s="10">
        <x:v>0.5</x:v>
      </x:c>
    </x:row>
    <x:row r="9" spans="1:10">
      <x:c r="B9" s="0" t="s">
        <x:v>27</x:v>
      </x:c>
      <x:c r="C9" s="12">
        <x:f>Spot*EXP((Rate-DivYield)*Maturity)</x:f>
      </x:c>
    </x:row>
    <x:row r="10" spans="1:10">
      <x:c r="B10" s="0" t="s">
        <x:v>28</x:v>
      </x:c>
      <x:c r="C10" s="13">
        <x:f>QF.SVI.FIT("SAMPLE02_SVI",Maturity,Fwd,Strikes,MarketVols)</x:f>
      </x:c>
      <x:c r="D10" s="7" t="s">
        <x:v>29</x:v>
      </x:c>
    </x:row>
    <x:row r="12" spans="1:10">
      <x:c r="B12" s="8" t="s">
        <x:v>30</x:v>
      </x:c>
      <x:c r="C12" s="9" t="s">
        <x:v>31</x:v>
      </x:c>
      <x:c r="D12" s="9" t="s">
        <x:v>32</x:v>
      </x:c>
      <x:c r="E12" s="9" t="s">
        <x:v>33</x:v>
      </x:c>
      <x:c r="F12" s="9" t="s">
        <x:v>34</x:v>
      </x:c>
      <x:c r="G12" s="9" t="s">
        <x:v>35</x:v>
      </x:c>
      <x:c r="I12" s="8" t="s">
        <x:v>42</x:v>
      </x:c>
      <x:c r="J12" s="9" t="s">
        <x:v>34</x:v>
      </x:c>
    </x:row>
    <x:row r="13" spans="1:10">
      <x:c r="B13" s="10">
        <x:v>70</x:v>
      </x:c>
      <x:c r="C13" s="14">
        <x:f>IF(B13&lt;Fwd,"P","C")</x:f>
      </x:c>
      <x:c r="D13" s="15">
        <x:v>0.2847</x:v>
      </x:c>
      <x:c r="E13" s="16">
        <x:f>QF.IMPLIEDVOL(D13,C13,Spot,B13,Maturity,Rate,DivYield)</x:f>
      </x:c>
      <x:c r="F13" s="16">
        <x:f>QF.SURFACE.VOL(SviHandle,Maturity,B13)</x:f>
      </x:c>
      <x:c r="G13" s="17">
        <x:f>(F13-E13)*100</x:f>
      </x:c>
      <x:c r="I13" s="18">
        <x:f>ROUND(MIN(Strikes),0)</x:f>
      </x:c>
      <x:c r="J13" s="16">
        <x:f>QF.SURFACE.VOL(SviHandle,Maturity,I13)</x:f>
      </x:c>
    </x:row>
    <x:row r="14" spans="1:10">
      <x:c r="B14" s="10">
        <x:v>75</x:v>
      </x:c>
      <x:c r="C14" s="14">
        <x:f>IF(B14&lt;Fwd,"P","C")</x:f>
      </x:c>
      <x:c r="D14" s="15">
        <x:v>0.4706</x:v>
      </x:c>
      <x:c r="E14" s="16">
        <x:f>QF.IMPLIEDVOL(D14,C14,Spot,B14,Maturity,Rate,DivYield)</x:f>
      </x:c>
      <x:c r="F14" s="16">
        <x:f>QF.SURFACE.VOL(SviHandle,Maturity,B14)</x:f>
      </x:c>
      <x:c r="G14" s="17">
        <x:f>(F14-E14)*100</x:f>
      </x:c>
      <x:c r="I14" s="18">
        <x:f>I13+1</x:f>
      </x:c>
      <x:c r="J14" s="16">
        <x:f>QF.SURFACE.VOL(SviHandle,Maturity,I14)</x:f>
      </x:c>
    </x:row>
    <x:row r="15" spans="1:10">
      <x:c r="B15" s="10">
        <x:v>80</x:v>
      </x:c>
      <x:c r="C15" s="14">
        <x:f>IF(B15&lt;Fwd,"P","C")</x:f>
      </x:c>
      <x:c r="D15" s="15">
        <x:v>0.7704</x:v>
      </x:c>
      <x:c r="E15" s="16">
        <x:f>QF.IMPLIEDVOL(D15,C15,Spot,B15,Maturity,Rate,DivYield)</x:f>
      </x:c>
      <x:c r="F15" s="16">
        <x:f>QF.SURFACE.VOL(SviHandle,Maturity,B15)</x:f>
      </x:c>
      <x:c r="G15" s="17">
        <x:f>(F15-E15)*100</x:f>
      </x:c>
      <x:c r="I15" s="18">
        <x:f>I14+1</x:f>
      </x:c>
      <x:c r="J15" s="16">
        <x:f>QF.SURFACE.VOL(SviHandle,Maturity,I15)</x:f>
      </x:c>
    </x:row>
    <x:row r="16" spans="1:10">
      <x:c r="B16" s="10">
        <x:v>85</x:v>
      </x:c>
      <x:c r="C16" s="14">
        <x:f>IF(B16&lt;Fwd,"P","C")</x:f>
      </x:c>
      <x:c r="D16" s="15">
        <x:v>1.273</x:v>
      </x:c>
      <x:c r="E16" s="16">
        <x:f>QF.IMPLIEDVOL(D16,C16,Spot,B16,Maturity,Rate,DivYield)</x:f>
      </x:c>
      <x:c r="F16" s="16">
        <x:f>QF.SURFACE.VOL(SviHandle,Maturity,B16)</x:f>
      </x:c>
      <x:c r="G16" s="17">
        <x:f>(F16-E16)*100</x:f>
      </x:c>
      <x:c r="I16" s="18">
        <x:f>I15+1</x:f>
      </x:c>
      <x:c r="J16" s="16">
        <x:f>QF.SURFACE.VOL(SviHandle,Maturity,I16)</x:f>
      </x:c>
    </x:row>
    <x:row r="17" spans="1:10">
      <x:c r="B17" s="10">
        <x:v>90</x:v>
      </x:c>
      <x:c r="C17" s="14">
        <x:f>IF(B17&lt;Fwd,"P","C")</x:f>
      </x:c>
      <x:c r="D17" s="15">
        <x:v>2.0229</x:v>
      </x:c>
      <x:c r="E17" s="16">
        <x:f>QF.IMPLIEDVOL(D17,C17,Spot,B17,Maturity,Rate,DivYield)</x:f>
      </x:c>
      <x:c r="F17" s="16">
        <x:f>QF.SURFACE.VOL(SviHandle,Maturity,B17)</x:f>
      </x:c>
      <x:c r="G17" s="17">
        <x:f>(F17-E17)*100</x:f>
      </x:c>
      <x:c r="I17" s="18">
        <x:f>I16+1</x:f>
      </x:c>
      <x:c r="J17" s="16">
        <x:f>QF.SURFACE.VOL(SviHandle,Maturity,I17)</x:f>
      </x:c>
    </x:row>
    <x:row r="18" spans="1:10">
      <x:c r="B18" s="10">
        <x:v>95</x:v>
      </x:c>
      <x:c r="C18" s="14">
        <x:f>IF(B18&lt;Fwd,"P","C")</x:f>
      </x:c>
      <x:c r="D18" s="15">
        <x:v>3.3</x:v>
      </x:c>
      <x:c r="E18" s="16">
        <x:f>QF.IMPLIEDVOL(D18,C18,Spot,B18,Maturity,Rate,DivYield)</x:f>
      </x:c>
      <x:c r="F18" s="16">
        <x:f>QF.SURFACE.VOL(SviHandle,Maturity,B18)</x:f>
      </x:c>
      <x:c r="G18" s="17">
        <x:f>(F18-E18)*100</x:f>
      </x:c>
      <x:c r="I18" s="18">
        <x:f>I17+1</x:f>
      </x:c>
      <x:c r="J18" s="16">
        <x:f>QF.SURFACE.VOL(SviHandle,Maturity,I18)</x:f>
      </x:c>
    </x:row>
    <x:row r="19" spans="1:10">
      <x:c r="B19" s="10">
        <x:v>100</x:v>
      </x:c>
      <x:c r="C19" s="14">
        <x:f>IF(B19&lt;Fwd,"P","C")</x:f>
      </x:c>
      <x:c r="D19" s="15">
        <x:v>5.1204</x:v>
      </x:c>
      <x:c r="E19" s="16">
        <x:f>QF.IMPLIEDVOL(D19,C19,Spot,B19,Maturity,Rate,DivYield)</x:f>
      </x:c>
      <x:c r="F19" s="16">
        <x:f>QF.SURFACE.VOL(SviHandle,Maturity,B19)</x:f>
      </x:c>
      <x:c r="G19" s="17">
        <x:f>(F19-E19)*100</x:f>
      </x:c>
      <x:c r="I19" s="18">
        <x:f>I18+1</x:f>
      </x:c>
      <x:c r="J19" s="16">
        <x:f>QF.SURFACE.VOL(SviHandle,Maturity,I19)</x:f>
      </x:c>
    </x:row>
    <x:row r="20" spans="1:10">
      <x:c r="B20" s="10">
        <x:v>105</x:v>
      </x:c>
      <x:c r="C20" s="14">
        <x:f>IF(B20&lt;Fwd,"P","C")</x:f>
      </x:c>
      <x:c r="D20" s="15">
        <x:v>3.8494</x:v>
      </x:c>
      <x:c r="E20" s="16">
        <x:f>QF.IMPLIEDVOL(D20,C20,Spot,B20,Maturity,Rate,DivYield)</x:f>
      </x:c>
      <x:c r="F20" s="16">
        <x:f>QF.SURFACE.VOL(SviHandle,Maturity,B20)</x:f>
      </x:c>
      <x:c r="G20" s="17">
        <x:f>(F20-E20)*100</x:f>
      </x:c>
      <x:c r="I20" s="18">
        <x:f>I19+1</x:f>
      </x:c>
      <x:c r="J20" s="16">
        <x:f>QF.SURFACE.VOL(SviHandle,Maturity,I20)</x:f>
      </x:c>
    </x:row>
    <x:row r="21" spans="1:10">
      <x:c r="B21" s="10">
        <x:v>110</x:v>
      </x:c>
      <x:c r="C21" s="14">
        <x:f>IF(B21&lt;Fwd,"P","C")</x:f>
      </x:c>
      <x:c r="D21" s="15">
        <x:v>2.2714</x:v>
      </x:c>
      <x:c r="E21" s="16">
        <x:f>QF.IMPLIEDVOL(D21,C21,Spot,B21,Maturity,Rate,DivYield)</x:f>
      </x:c>
      <x:c r="F21" s="16">
        <x:f>QF.SURFACE.VOL(SviHandle,Maturity,B21)</x:f>
      </x:c>
      <x:c r="G21" s="17">
        <x:f>(F21-E21)*100</x:f>
      </x:c>
      <x:c r="I21" s="18">
        <x:f>I20+1</x:f>
      </x:c>
      <x:c r="J21" s="16">
        <x:f>QF.SURFACE.VOL(SviHandle,Maturity,I21)</x:f>
      </x:c>
    </x:row>
    <x:row r="22" spans="1:10">
      <x:c r="B22" s="10">
        <x:v>115</x:v>
      </x:c>
      <x:c r="C22" s="14">
        <x:f>IF(B22&lt;Fwd,"P","C")</x:f>
      </x:c>
      <x:c r="D22" s="15">
        <x:v>1.2954</x:v>
      </x:c>
      <x:c r="E22" s="16">
        <x:f>QF.IMPLIEDVOL(D22,C22,Spot,B22,Maturity,Rate,DivYield)</x:f>
      </x:c>
      <x:c r="F22" s="16">
        <x:f>QF.SURFACE.VOL(SviHandle,Maturity,B22)</x:f>
      </x:c>
      <x:c r="G22" s="17">
        <x:f>(F22-E22)*100</x:f>
      </x:c>
      <x:c r="I22" s="18">
        <x:f>I21+1</x:f>
      </x:c>
      <x:c r="J22" s="16">
        <x:f>QF.SURFACE.VOL(SviHandle,Maturity,I22)</x:f>
      </x:c>
    </x:row>
    <x:row r="23" spans="1:10">
      <x:c r="B23" s="10">
        <x:v>120</x:v>
      </x:c>
      <x:c r="C23" s="14">
        <x:f>IF(B23&lt;Fwd,"P","C")</x:f>
      </x:c>
      <x:c r="D23" s="15">
        <x:v>0.7409</x:v>
      </x:c>
      <x:c r="E23" s="16">
        <x:f>QF.IMPLIEDVOL(D23,C23,Spot,B23,Maturity,Rate,DivYield)</x:f>
      </x:c>
      <x:c r="F23" s="16">
        <x:f>QF.SURFACE.VOL(SviHandle,Maturity,B23)</x:f>
      </x:c>
      <x:c r="G23" s="17">
        <x:f>(F23-E23)*100</x:f>
      </x:c>
      <x:c r="I23" s="18">
        <x:f>I22+1</x:f>
      </x:c>
      <x:c r="J23" s="16">
        <x:f>QF.SURFACE.VOL(SviHandle,Maturity,I23)</x:f>
      </x:c>
    </x:row>
    <x:row r="24" spans="1:10">
      <x:c r="B24" s="10">
        <x:v>125</x:v>
      </x:c>
      <x:c r="C24" s="14">
        <x:f>IF(B24&lt;Fwd,"P","C")</x:f>
      </x:c>
      <x:c r="D24" s="15">
        <x:v>0.3994</x:v>
      </x:c>
      <x:c r="E24" s="16">
        <x:f>QF.IMPLIEDVOL(D24,C24,Spot,B24,Maturity,Rate,DivYield)</x:f>
      </x:c>
      <x:c r="F24" s="16">
        <x:f>QF.SURFACE.VOL(SviHandle,Maturity,B24)</x:f>
      </x:c>
      <x:c r="G24" s="17">
        <x:f>(F24-E24)*100</x:f>
      </x:c>
      <x:c r="I24" s="18">
        <x:f>I23+1</x:f>
      </x:c>
      <x:c r="J24" s="16">
        <x:f>QF.SURFACE.VOL(SviHandle,Maturity,I24)</x:f>
      </x:c>
    </x:row>
    <x:row r="25" spans="1:10">
      <x:c r="B25" s="10">
        <x:v>130</x:v>
      </x:c>
      <x:c r="C25" s="14">
        <x:f>IF(B25&lt;Fwd,"P","C")</x:f>
      </x:c>
      <x:c r="D25" s="15">
        <x:v>0.2348</x:v>
      </x:c>
      <x:c r="E25" s="16">
        <x:f>QF.IMPLIEDVOL(D25,C25,Spot,B25,Maturity,Rate,DivYield)</x:f>
      </x:c>
      <x:c r="F25" s="16">
        <x:f>QF.SURFACE.VOL(SviHandle,Maturity,B25)</x:f>
      </x:c>
      <x:c r="G25" s="17">
        <x:f>(F25-E25)*100</x:f>
      </x:c>
      <x:c r="I25" s="18">
        <x:f>I24+1</x:f>
      </x:c>
      <x:c r="J25" s="16">
        <x:f>QF.SURFACE.VOL(SviHandle,Maturity,I25)</x:f>
      </x:c>
    </x:row>
    <x:row r="26" spans="1:10">
      <x:c r="I26" s="18">
        <x:f>I25+1</x:f>
      </x:c>
      <x:c r="J26" s="16">
        <x:f>QF.SURFACE.VOL(SviHandle,Maturity,I26)</x:f>
      </x:c>
    </x:row>
    <x:row r="27" spans="1:10">
      <x:c r="B27" s="8" t="s">
        <x:v>36</x:v>
      </x:c>
      <x:c r="C27" s="9" t="s">
        <x:v>22</x:v>
      </x:c>
      <x:c r="I27" s="18">
        <x:f>I26+1</x:f>
      </x:c>
      <x:c r="J27" s="16">
        <x:f>QF.SURFACE.VOL(SviHandle,Maturity,I27)</x:f>
      </x:c>
    </x:row>
    <x:row r="28" spans="1:10">
      <x:c r="B28" s="0" t="s">
        <x:v>37</x:v>
      </x:c>
      <x:c r="C28" s="17">
        <x:f>SQRT(SUMSQ(G13:G25)/COUNT(G13:G25))</x:f>
      </x:c>
      <x:c r="I28" s="18">
        <x:f>I27+1</x:f>
      </x:c>
      <x:c r="J28" s="16">
        <x:f>QF.SURFACE.VOL(SviHandle,Maturity,I28)</x:f>
      </x:c>
    </x:row>
    <x:row r="29" spans="1:10">
      <x:c r="B29" s="0" t="s">
        <x:v>38</x:v>
      </x:c>
      <x:c r="C29" s="17">
        <x:f>MAX(MAX(G13:G25),-MIN(G13:G25))</x:f>
      </x:c>
      <x:c r="I29" s="18">
        <x:f>I28+1</x:f>
      </x:c>
      <x:c r="J29" s="16">
        <x:f>QF.SURFACE.VOL(SviHandle,Maturity,I29)</x:f>
      </x:c>
    </x:row>
    <x:row r="30" spans="1:10">
      <x:c r="B30" s="0" t="s">
        <x:v>39</x:v>
      </x:c>
      <x:c r="C30" s="16">
        <x:f>QF.SURFACE.VOL(SviHandle,Maturity,Fwd)</x:f>
      </x:c>
      <x:c r="I30" s="18">
        <x:f>I29+1</x:f>
      </x:c>
      <x:c r="J30" s="16">
        <x:f>QF.SURFACE.VOL(SviHandle,Maturity,I30)</x:f>
      </x:c>
    </x:row>
    <x:row r="31" spans="1:10">
      <x:c r="I31" s="18">
        <x:f>I30+1</x:f>
      </x:c>
      <x:c r="J31" s="16">
        <x:f>QF.SURFACE.VOL(SviHandle,Maturity,I31)</x:f>
      </x:c>
    </x:row>
    <x:row r="32" spans="1:10">
      <x:c r="B32" s="7" t="s">
        <x:v>40</x:v>
      </x:c>
      <x:c r="I32" s="18">
        <x:f>I31+1</x:f>
      </x:c>
      <x:c r="J32" s="16">
        <x:f>QF.SURFACE.VOL(SviHandle,Maturity,I32)</x:f>
      </x:c>
    </x:row>
    <x:row r="33" spans="1:10">
      <x:c r="B33" s="7" t="s">
        <x:v>41</x:v>
      </x:c>
      <x:c r="I33" s="18">
        <x:f>I32+1</x:f>
      </x:c>
      <x:c r="J33" s="16">
        <x:f>QF.SURFACE.VOL(SviHandle,Maturity,I33)</x:f>
      </x:c>
    </x:row>
    <x:row r="34" spans="1:10">
      <x:c r="I34" s="18">
        <x:f>I33+1</x:f>
      </x:c>
      <x:c r="J34" s="16">
        <x:f>QF.SURFACE.VOL(SviHandle,Maturity,I34)</x:f>
      </x:c>
    </x:row>
    <x:row r="35" spans="1:10">
      <x:c r="I35" s="18">
        <x:f>I34+1</x:f>
      </x:c>
      <x:c r="J35" s="16">
        <x:f>QF.SURFACE.VOL(SviHandle,Maturity,I35)</x:f>
      </x:c>
    </x:row>
    <x:row r="36" spans="1:10">
      <x:c r="I36" s="18">
        <x:f>I35+1</x:f>
      </x:c>
      <x:c r="J36" s="16">
        <x:f>QF.SURFACE.VOL(SviHandle,Maturity,I36)</x:f>
      </x:c>
    </x:row>
    <x:row r="37" spans="1:10">
      <x:c r="I37" s="18">
        <x:f>I36+1</x:f>
      </x:c>
      <x:c r="J37" s="16">
        <x:f>QF.SURFACE.VOL(SviHandle,Maturity,I37)</x:f>
      </x:c>
    </x:row>
    <x:row r="38" spans="1:10">
      <x:c r="I38" s="18">
        <x:f>I37+1</x:f>
      </x:c>
      <x:c r="J38" s="16">
        <x:f>QF.SURFACE.VOL(SviHandle,Maturity,I38)</x:f>
      </x:c>
    </x:row>
    <x:row r="39" spans="1:10">
      <x:c r="I39" s="18">
        <x:f>I38+1</x:f>
      </x:c>
      <x:c r="J39" s="16">
        <x:f>QF.SURFACE.VOL(SviHandle,Maturity,I39)</x:f>
      </x:c>
    </x:row>
    <x:row r="40" spans="1:10">
      <x:c r="I40" s="18">
        <x:f>I39+1</x:f>
      </x:c>
      <x:c r="J40" s="16">
        <x:f>QF.SURFACE.VOL(SviHandle,Maturity,I40)</x:f>
      </x:c>
    </x:row>
    <x:row r="41" spans="1:10">
      <x:c r="I41" s="18">
        <x:f>I40+1</x:f>
      </x:c>
      <x:c r="J41" s="16">
        <x:f>QF.SURFACE.VOL(SviHandle,Maturity,I41)</x:f>
      </x:c>
    </x:row>
    <x:row r="42" spans="1:10">
      <x:c r="I42" s="18">
        <x:f>I41+1</x:f>
      </x:c>
      <x:c r="J42" s="16">
        <x:f>QF.SURFACE.VOL(SviHandle,Maturity,I42)</x:f>
      </x:c>
    </x:row>
    <x:row r="43" spans="1:10">
      <x:c r="I43" s="18">
        <x:f>I42+1</x:f>
      </x:c>
      <x:c r="J43" s="16">
        <x:f>QF.SURFACE.VOL(SviHandle,Maturity,I43)</x:f>
      </x:c>
    </x:row>
    <x:row r="44" spans="1:10">
      <x:c r="I44" s="18">
        <x:f>I43+1</x:f>
      </x:c>
      <x:c r="J44" s="16">
        <x:f>QF.SURFACE.VOL(SviHandle,Maturity,I44)</x:f>
      </x:c>
    </x:row>
    <x:row r="45" spans="1:10">
      <x:c r="I45" s="18">
        <x:f>I44+1</x:f>
      </x:c>
      <x:c r="J45" s="16">
        <x:f>QF.SURFACE.VOL(SviHandle,Maturity,I45)</x:f>
      </x:c>
    </x:row>
    <x:row r="46" spans="1:10">
      <x:c r="I46" s="18">
        <x:f>I45+1</x:f>
      </x:c>
      <x:c r="J46" s="16">
        <x:f>QF.SURFACE.VOL(SviHandle,Maturity,I46)</x:f>
      </x:c>
    </x:row>
    <x:row r="47" spans="1:10">
      <x:c r="I47" s="18">
        <x:f>I46+1</x:f>
      </x:c>
      <x:c r="J47" s="16">
        <x:f>QF.SURFACE.VOL(SviHandle,Maturity,I47)</x:f>
      </x:c>
    </x:row>
    <x:row r="48" spans="1:10">
      <x:c r="I48" s="18">
        <x:f>I47+1</x:f>
      </x:c>
      <x:c r="J48" s="16">
        <x:f>QF.SURFACE.VOL(SviHandle,Maturity,I48)</x:f>
      </x:c>
    </x:row>
    <x:row r="49" spans="1:10">
      <x:c r="I49" s="18">
        <x:f>I48+1</x:f>
      </x:c>
      <x:c r="J49" s="16">
        <x:f>QF.SURFACE.VOL(SviHandle,Maturity,I49)</x:f>
      </x:c>
    </x:row>
    <x:row r="50" spans="1:10">
      <x:c r="I50" s="18">
        <x:f>I49+1</x:f>
      </x:c>
      <x:c r="J50" s="16">
        <x:f>QF.SURFACE.VOL(SviHandle,Maturity,I50)</x:f>
      </x:c>
    </x:row>
    <x:row r="51" spans="1:10">
      <x:c r="I51" s="18">
        <x:f>I50+1</x:f>
      </x:c>
      <x:c r="J51" s="16">
        <x:f>QF.SURFACE.VOL(SviHandle,Maturity,I51)</x:f>
      </x:c>
    </x:row>
    <x:row r="52" spans="1:10">
      <x:c r="I52" s="18">
        <x:f>I51+1</x:f>
      </x:c>
      <x:c r="J52" s="16">
        <x:f>QF.SURFACE.VOL(SviHandle,Maturity,I52)</x:f>
      </x:c>
    </x:row>
    <x:row r="53" spans="1:10">
      <x:c r="I53" s="18">
        <x:f>I52+1</x:f>
      </x:c>
      <x:c r="J53" s="16">
        <x:f>QF.SURFACE.VOL(SviHandle,Maturity,I53)</x:f>
      </x:c>
    </x:row>
    <x:row r="54" spans="1:10">
      <x:c r="I54" s="18">
        <x:f>I53+1</x:f>
      </x:c>
      <x:c r="J54" s="16">
        <x:f>QF.SURFACE.VOL(SviHandle,Maturity,I54)</x:f>
      </x:c>
    </x:row>
    <x:row r="55" spans="1:10">
      <x:c r="I55" s="18">
        <x:f>I54+1</x:f>
      </x:c>
      <x:c r="J55" s="16">
        <x:f>QF.SURFACE.VOL(SviHandle,Maturity,I55)</x:f>
      </x:c>
    </x:row>
    <x:row r="56" spans="1:10">
      <x:c r="I56" s="18">
        <x:f>I55+1</x:f>
      </x:c>
      <x:c r="J56" s="16">
        <x:f>QF.SURFACE.VOL(SviHandle,Maturity,I56)</x:f>
      </x:c>
    </x:row>
    <x:row r="57" spans="1:10">
      <x:c r="I57" s="18">
        <x:f>I56+1</x:f>
      </x:c>
      <x:c r="J57" s="16">
        <x:f>QF.SURFACE.VOL(SviHandle,Maturity,I57)</x:f>
      </x:c>
    </x:row>
    <x:row r="58" spans="1:10">
      <x:c r="I58" s="18">
        <x:f>I57+1</x:f>
      </x:c>
      <x:c r="J58" s="16">
        <x:f>QF.SURFACE.VOL(SviHandle,Maturity,I58)</x:f>
      </x:c>
    </x:row>
    <x:row r="59" spans="1:10">
      <x:c r="I59" s="18">
        <x:f>I58+1</x:f>
      </x:c>
      <x:c r="J59" s="16">
        <x:f>QF.SURFACE.VOL(SviHandle,Maturity,I59)</x:f>
      </x:c>
    </x:row>
    <x:row r="60" spans="1:10">
      <x:c r="I60" s="18">
        <x:f>I59+1</x:f>
      </x:c>
      <x:c r="J60" s="16">
        <x:f>QF.SURFACE.VOL(SviHandle,Maturity,I60)</x:f>
      </x:c>
    </x:row>
    <x:row r="61" spans="1:10">
      <x:c r="I61" s="18">
        <x:f>I60+1</x:f>
      </x:c>
      <x:c r="J61" s="16">
        <x:f>QF.SURFACE.VOL(SviHandle,Maturity,I61)</x:f>
      </x:c>
    </x:row>
    <x:row r="62" spans="1:10">
      <x:c r="I62" s="18">
        <x:f>I61+1</x:f>
      </x:c>
      <x:c r="J62" s="16">
        <x:f>QF.SURFACE.VOL(SviHandle,Maturity,I62)</x:f>
      </x:c>
    </x:row>
    <x:row r="63" spans="1:10">
      <x:c r="I63" s="18">
        <x:f>I62+1</x:f>
      </x:c>
      <x:c r="J63" s="16">
        <x:f>QF.SURFACE.VOL(SviHandle,Maturity,I63)</x:f>
      </x:c>
    </x:row>
    <x:row r="64" spans="1:10">
      <x:c r="I64" s="18">
        <x:f>I63+1</x:f>
      </x:c>
      <x:c r="J64" s="16">
        <x:f>QF.SURFACE.VOL(SviHandle,Maturity,I64)</x:f>
      </x:c>
    </x:row>
    <x:row r="65" spans="1:10">
      <x:c r="I65" s="18">
        <x:f>I64+1</x:f>
      </x:c>
      <x:c r="J65" s="16">
        <x:f>QF.SURFACE.VOL(SviHandle,Maturity,I65)</x:f>
      </x:c>
    </x:row>
    <x:row r="66" spans="1:10">
      <x:c r="I66" s="18">
        <x:f>I65+1</x:f>
      </x:c>
      <x:c r="J66" s="16">
        <x:f>QF.SURFACE.VOL(SviHandle,Maturity,I66)</x:f>
      </x:c>
    </x:row>
    <x:row r="67" spans="1:10">
      <x:c r="I67" s="18">
        <x:f>I66+1</x:f>
      </x:c>
      <x:c r="J67" s="16">
        <x:f>QF.SURFACE.VOL(SviHandle,Maturity,I67)</x:f>
      </x:c>
    </x:row>
    <x:row r="68" spans="1:10">
      <x:c r="I68" s="18">
        <x:f>I67+1</x:f>
      </x:c>
      <x:c r="J68" s="16">
        <x:f>QF.SURFACE.VOL(SviHandle,Maturity,I68)</x:f>
      </x:c>
    </x:row>
    <x:row r="69" spans="1:10">
      <x:c r="I69" s="18">
        <x:f>I68+1</x:f>
      </x:c>
      <x:c r="J69" s="16">
        <x:f>QF.SURFACE.VOL(SviHandle,Maturity,I69)</x:f>
      </x:c>
    </x:row>
    <x:row r="70" spans="1:10">
      <x:c r="I70" s="18">
        <x:f>I69+1</x:f>
      </x:c>
      <x:c r="J70" s="16">
        <x:f>QF.SURFACE.VOL(SviHandle,Maturity,I70)</x:f>
      </x:c>
    </x:row>
    <x:row r="71" spans="1:10">
      <x:c r="I71" s="18">
        <x:f>I70+1</x:f>
      </x:c>
      <x:c r="J71" s="16">
        <x:f>QF.SURFACE.VOL(SviHandle,Maturity,I71)</x:f>
      </x:c>
    </x:row>
    <x:row r="72" spans="1:10">
      <x:c r="I72" s="18">
        <x:f>I71+1</x:f>
      </x:c>
      <x:c r="J72" s="16">
        <x:f>QF.SURFACE.VOL(SviHandle,Maturity,I72)</x:f>
      </x:c>
    </x:row>
    <x:row r="73" spans="1:10">
      <x:c r="I73" s="18">
        <x:f>I72+1</x:f>
      </x:c>
      <x:c r="J73" s="16">
        <x:f>QF.SURFACE.VOL(SviHandle,Maturity,I73)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About</vt:lpstr>
      <vt:lpstr>Smile</vt:lpstr>
      <vt:lpstr>About!Print_Area</vt:lpstr>
      <vt:lpstr>About!Print_Titles</vt:lpstr>
      <vt:lpstr>Smile!Print_Area</vt:lpstr>
      <vt:lpstr>Smile!Print_Titles</vt:lpstr>
      <vt:lpstr>Spot</vt:lpstr>
      <vt:lpstr>Rate</vt:lpstr>
      <vt:lpstr>DivYield</vt:lpstr>
      <vt:lpstr>Maturity</vt:lpstr>
      <vt:lpstr>Fwd</vt:lpstr>
      <vt:lpstr>SviHandle</vt:lpstr>
      <vt:lpstr>Strikes</vt:lpstr>
      <vt:lpstr>MarketVols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