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alcChain.xml" ContentType="application/vnd.openxmlformats-officedocument.spreadsheetml.calcChain+xml"/>
  <Override PartName="/xl/theme/theme1.xml" ContentType="application/vnd.openxmlformats-officedocument.theme+xml"/>
  <Override PartName="/xl/charts/chart1.xml" ContentType="application/vnd.openxmlformats-officedocument.drawingml.chart+xml"/>
  <Override PartName="/xl/charts/chart2.xml" ContentType="application/vnd.openxmlformats-officedocument.drawingml.chart+xml"/>
  <Override PartName="/xl/drawings/drawing1.xml" ContentType="application/vnd.openxmlformats-officedocument.drawing+xml"/>
</Types>
</file>

<file path=_rels/.rels><?xml version="1.0" encoding="utf-8"?><Relationships xmlns="http://schemas.openxmlformats.org/package/2006/relationships"><Relationship Type="http://schemas.openxmlformats.org/officeDocument/2006/relationships/officeDocument" Target="/xl/workbook.xml" Id="rId1" /><Relationship Type="http://schemas.openxmlformats.org/officeDocument/2006/relationships/extended-properties" Target="/docProps/app.xml" Id="rId2" /><Relationship Type="http://schemas.openxmlformats.org/package/2006/relationships/metadata/core-properties" Target="/package/services/metadata/core-properties/core.psmdcp" Id="rId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out" sheetId="1" r:id="rId2"/>
    <x:sheet name="Quotes" sheetId="2" r:id="rId3"/>
    <x:sheet name="Curve" sheetId="3" r:id="rId4"/>
  </x:sheets>
  <x:definedNames>
    <x:definedName name="InstTypes">'Quotes'!$B$5:$B$16</x:definedName>
    <x:definedName name="InstTenors">'Quotes'!$C$5:$C$16</x:definedName>
    <x:definedName name="InstQuotes">'Quotes'!$D$5:$D$16</x:definedName>
    <x:definedName name="ValDate">'Curve'!$C$5</x:definedName>
    <x:definedName name="Cal">'Curve'!$C$6</x:definedName>
    <x:definedName name="Interp">'Curve'!$C$7</x:definedName>
    <x:definedName name="FlatRate">'Curve'!$C$8</x:definedName>
    <x:definedName name="DayCount">'Curve'!$C$9</x:definedName>
    <x:definedName name="CurveHandle">'Curve'!$C$12</x:definedName>
    <x:definedName name="FlatHandle">'Curve'!$C$13</x:definedName>
  </x:definedNames>
  <x:calcPr calcId="125725" fullCalcOnLoad="1"/>
</x:workbook>
</file>

<file path=xl/calcChain.xml><?xml version="1.0" encoding="utf-8"?>
<x:calcChain xmlns:x="http://schemas.openxmlformats.org/spreadsheetml/2006/main">
  <x:c r="B24" i="1"/>
  <x:c r="B25" i="1"/>
  <x:c r="C12" i="3"/>
  <x:c r="C13" i="3"/>
  <x:c r="C16" i="3"/>
  <x:c r="D16" i="3"/>
  <x:c r="E16" i="3"/>
  <x:c r="F16" i="3"/>
  <x:c r="G16" i="3"/>
  <x:c r="H16" i="3"/>
  <x:c r="I16" i="3"/>
  <x:c r="J16" i="3"/>
  <x:c r="K16" i="3"/>
  <x:c r="C17" i="3"/>
  <x:c r="D17" i="3"/>
  <x:c r="E17" i="3"/>
  <x:c r="F17" i="3"/>
  <x:c r="G17" i="3"/>
  <x:c r="H17" i="3"/>
  <x:c r="I17" i="3"/>
  <x:c r="J17" i="3"/>
  <x:c r="K17" i="3"/>
  <x:c r="C18" i="3"/>
  <x:c r="D18" i="3"/>
  <x:c r="E18" i="3"/>
  <x:c r="F18" i="3"/>
  <x:c r="G18" i="3"/>
  <x:c r="H18" i="3"/>
  <x:c r="I18" i="3"/>
  <x:c r="J18" i="3"/>
  <x:c r="K18" i="3"/>
  <x:c r="C19" i="3"/>
  <x:c r="D19" i="3"/>
  <x:c r="E19" i="3"/>
  <x:c r="F19" i="3"/>
  <x:c r="G19" i="3"/>
  <x:c r="H19" i="3"/>
  <x:c r="I19" i="3"/>
  <x:c r="J19" i="3"/>
  <x:c r="K19" i="3"/>
  <x:c r="C20" i="3"/>
  <x:c r="D20" i="3"/>
  <x:c r="E20" i="3"/>
  <x:c r="F20" i="3"/>
  <x:c r="G20" i="3"/>
  <x:c r="H20" i="3"/>
  <x:c r="I20" i="3"/>
  <x:c r="J20" i="3"/>
  <x:c r="K20" i="3"/>
  <x:c r="C21" i="3"/>
  <x:c r="D21" i="3"/>
  <x:c r="E21" i="3"/>
  <x:c r="F21" i="3"/>
  <x:c r="G21" i="3"/>
  <x:c r="H21" i="3"/>
  <x:c r="I21" i="3"/>
  <x:c r="J21" i="3"/>
  <x:c r="K21" i="3"/>
  <x:c r="C22" i="3"/>
  <x:c r="D22" i="3"/>
  <x:c r="E22" i="3"/>
  <x:c r="F22" i="3"/>
  <x:c r="G22" i="3"/>
  <x:c r="H22" i="3"/>
  <x:c r="I22" i="3"/>
  <x:c r="J22" i="3"/>
  <x:c r="K22" i="3"/>
  <x:c r="C23" i="3"/>
  <x:c r="D23" i="3"/>
  <x:c r="E23" i="3"/>
  <x:c r="F23" i="3"/>
  <x:c r="G23" i="3"/>
  <x:c r="H23" i="3"/>
  <x:c r="I23" i="3"/>
  <x:c r="J23" i="3"/>
  <x:c r="K23" i="3"/>
  <x:c r="C24" i="3"/>
  <x:c r="D24" i="3"/>
  <x:c r="E24" i="3"/>
  <x:c r="F24" i="3"/>
  <x:c r="G24" i="3"/>
  <x:c r="H24" i="3"/>
  <x:c r="I24" i="3"/>
  <x:c r="J24" i="3"/>
  <x:c r="K24" i="3"/>
  <x:c r="C25" i="3"/>
  <x:c r="D25" i="3"/>
  <x:c r="E25" i="3"/>
  <x:c r="F25" i="3"/>
  <x:c r="G25" i="3"/>
  <x:c r="H25" i="3"/>
  <x:c r="I25" i="3"/>
  <x:c r="J25" i="3"/>
  <x:c r="K25" i="3"/>
  <x:c r="C26" i="3"/>
  <x:c r="D26" i="3"/>
  <x:c r="E26" i="3"/>
  <x:c r="F26" i="3"/>
  <x:c r="G26" i="3"/>
  <x:c r="H26" i="3"/>
  <x:c r="I26" i="3"/>
  <x:c r="J26" i="3"/>
  <x:c r="K26" i="3"/>
  <x:c r="C27" i="3"/>
  <x:c r="D27" i="3"/>
  <x:c r="E27" i="3"/>
  <x:c r="F27" i="3"/>
  <x:c r="G27" i="3"/>
  <x:c r="H27" i="3"/>
  <x:c r="I27" i="3"/>
  <x:c r="J27" i="3"/>
  <x:c r="K27" i="3"/>
  <x:c r="C28" i="3"/>
  <x:c r="D28" i="3"/>
  <x:c r="E28" i="3"/>
  <x:c r="F28" i="3"/>
  <x:c r="G28" i="3"/>
  <x:c r="H28" i="3"/>
  <x:c r="I28" i="3"/>
  <x:c r="J28" i="3"/>
  <x:c r="K28" i="3"/>
  <x:c r="C29" i="3"/>
  <x:c r="D29" i="3"/>
  <x:c r="E29" i="3"/>
  <x:c r="F29" i="3"/>
  <x:c r="G29" i="3"/>
  <x:c r="H29" i="3"/>
  <x:c r="I29" i="3"/>
  <x:c r="J29" i="3"/>
  <x:c r="K29" i="3"/>
  <x:c r="C30" i="3"/>
  <x:c r="D30" i="3"/>
  <x:c r="E30" i="3"/>
  <x:c r="F30" i="3"/>
  <x:c r="G30" i="3"/>
  <x:c r="H30" i="3"/>
  <x:c r="I30" i="3"/>
  <x:c r="J30" i="3"/>
  <x:c r="K30" i="3"/>
  <x:c r="C31" i="3"/>
  <x:c r="D31" i="3"/>
  <x:c r="E31" i="3"/>
  <x:c r="F31" i="3"/>
  <x:c r="G31" i="3"/>
  <x:c r="H31" i="3"/>
  <x:c r="I31" i="3"/>
  <x:c r="J31" i="3"/>
  <x:c r="K31" i="3"/>
  <x:c r="C32" i="3"/>
  <x:c r="D32" i="3"/>
  <x:c r="E32" i="3"/>
  <x:c r="F32" i="3"/>
  <x:c r="G32" i="3"/>
  <x:c r="H32" i="3"/>
  <x:c r="I32" i="3"/>
  <x:c r="J32" i="3"/>
  <x:c r="K32" i="3"/>
  <x:c r="C33" i="3"/>
  <x:c r="D33" i="3"/>
  <x:c r="E33" i="3"/>
  <x:c r="F33" i="3"/>
  <x:c r="G33" i="3"/>
  <x:c r="H33" i="3"/>
  <x:c r="I33" i="3"/>
  <x:c r="J33" i="3"/>
  <x:c r="K33" i="3"/>
  <x:c r="C34" i="3"/>
  <x:c r="D34" i="3"/>
  <x:c r="E34" i="3"/>
  <x:c r="F34" i="3"/>
  <x:c r="G34" i="3"/>
  <x:c r="H34" i="3"/>
  <x:c r="I34" i="3"/>
  <x:c r="J34" i="3"/>
  <x:c r="K34" i="3"/>
  <x:c r="C35" i="3"/>
  <x:c r="D35" i="3"/>
  <x:c r="E35" i="3"/>
  <x:c r="F35" i="3"/>
  <x:c r="G35" i="3"/>
  <x:c r="H35" i="3"/>
  <x:c r="I35" i="3"/>
  <x:c r="J35" i="3"/>
  <x:c r="K35" i="3"/>
</x:calcChain>
</file>

<file path=xl/sharedStrings.xml><?xml version="1.0" encoding="utf-8"?>
<x:sst xmlns:x="http://schemas.openxmlformats.org/spreadsheetml/2006/main">
  <x:si>
    <x:t>Yield curve bootstrap</x:t>
  </x:si>
  <x:si>
    <x:t>A discount curve bootstrapped from euro-style deposit, FRA and swap quotes (QF.CURVE.BOOTSTRAP), read as discount factors and zero rates on a grid of dates built with QF.DATE.ADVANCE and QF.YEARFRAC, and compared with a flat curve (QF.CURVE.FLAT).</x:t>
  </x:si>
  <x:si>
    <x:t>What is in this workbook</x:t>
  </x:si>
  <x:si>
    <x:t xml:space="preserve">   Quotes: the market instruments (type, tenor, quoted rate) the curve is built from.</x:t>
  </x:si>
  <x:si>
    <x:t xml:space="preserve">   Curve: the valuation date, calendar and interpolation inputs, the two curve handles, and the date grid with dates, year fractions, discount factors, zero rates (continuous and annual), forward rates and the spread to the flat curve; charts of the zero/forward curves and of the discount factors.</x:t>
  </x:si>
  <x:si>
    <x:t>The quotes are illustrative euro-market levels around mid-January 2025, not live data. Conventions are the euro ones: deposits and FRAs Actual/360, swaps annual 30/360 against 6M Actual/360 floating, spot two TARGET business days after the valuation date.</x:t>
  </x:si>
  <x:si>
    <x:t>Functions used: QF.CURVE.BOOTSTRAP, QF.CURVE.FLAT, QF.CURVE.DF, QF.CURVE.ZERO, QF.DATE.ADVANCE, QF.YEARFRAC. The curves are named SAMPLE03_EUR and SAMPLE03_FLAT: object names are global to the Excel session, so do not open two copies of this workbook at once.</x:t>
  </x:si>
  <x:si>
    <x:t>Before you start</x:t>
  </x:si>
  <x:si>
    <x:t xml:space="preserve">   1. The numbers appear only when the InFine QuantFinance add-in (an Excel-DNA .xll, Windows, 64-bit Excel) is loaded. Without it, every QF.* cell shows #NAME?.</x:t>
  </x:si>
  <x:si>
    <x:t xml:space="preserve">   2. Build or download the packed add-in, unblock the file (right-click, Properties, Unblock), then File &gt; Options &gt; Add-ins &gt; Manage Excel Add-ins &gt; Go &gt; Browse and pick the .xll.</x:t>
  </x:si>
  <x:si>
    <x:t xml:space="preserve">   3. Open this workbook. If cells still show #NAME? or #REF!, press Ctrl+Alt+F9 (full recalculation): objects such as curves and covariance matrices are kept in memory and are rebuilt by the cells that create them.</x:t>
  </x:si>
  <x:si>
    <x:t xml:space="preserve">   4. Full instructions, the function reference and the conventions are in docs/excel.md:</x:t>
  </x:si>
  <x:si>
    <x:t xml:space="preserve">   https://github.com/infineco/quant-finance-library/blob/main/docs/excel.md</x:t>
  </x:si>
  <x:si>
    <x:t>Colour code</x:t>
  </x:si>
  <x:si>
    <x:t xml:space="preserve">   Blue on pale yellow: an input, type over it.</x:t>
  </x:si>
  <x:si>
    <x:t xml:space="preserve">   Black on white: a formula, do not overwrite it. Cells that start a QF.* block are Ctrl+Shift+Enter array formulas ({=...}).</x:t>
  </x:si>
  <x:si>
    <x:t>Diagnostics</x:t>
  </x:si>
  <x:si>
    <x:t xml:space="preserve">   Tip: a cell can only show #VALUE!, #NUM! or #REF!. When a QF.* cell fails, type =QF.LASTERROR() in a free cell to read the reason, with the function and the argument name (it is the last failure of any QF function).</x:t>
  </x:si>
  <x:si>
    <x:t>All market data in these workbooks is synthetic or illustrative; it is not a recommendation and not a market quote.</x:t>
  </x:si>
  <x:si>
    <x:t>Market quotes</x:t>
  </x:si>
  <x:si>
    <x:t>Type is DEPOSIT, FRA or SWAP; a FRA tenor reads 6x12 (starts in 6 months, ends in 12); quotes are decimals (0.0215 is 2.15%).</x:t>
  </x:si>
  <x:si>
    <x:t>Type</x:t>
  </x:si>
  <x:si>
    <x:t>Tenor</x:t>
  </x:si>
  <x:si>
    <x:t>Quote</x:t>
  </x:si>
  <x:si>
    <x:t>DEPOSIT</x:t>
  </x:si>
  <x:si>
    <x:t>1M</x:t>
  </x:si>
  <x:si>
    <x:t>3M</x:t>
  </x:si>
  <x:si>
    <x:t>6M</x:t>
  </x:si>
  <x:si>
    <x:t>FRA</x:t>
  </x:si>
  <x:si>
    <x:t>6x12</x:t>
  </x:si>
  <x:si>
    <x:t>SWAP</x:t>
  </x:si>
  <x:si>
    <x:t>2Y</x:t>
  </x:si>
  <x:si>
    <x:t>3Y</x:t>
  </x:si>
  <x:si>
    <x:t>5Y</x:t>
  </x:si>
  <x:si>
    <x:t>7Y</x:t>
  </x:si>
  <x:si>
    <x:t>10Y</x:t>
  </x:si>
  <x:si>
    <x:t>15Y</x:t>
  </x:si>
  <x:si>
    <x:t>20Y</x:t>
  </x:si>
  <x:si>
    <x:t>30Y</x:t>
  </x:si>
  <x:si>
    <x:t>Keep one instrument per maturity: the bootstrap needs strictly increasing pillars.</x:t>
  </x:si>
  <x:si>
    <x:t>Bootstrapped curve and flat comparison</x:t>
  </x:si>
  <x:si>
    <x:t>Inputs are yellow. The grid dates are valuation date + tenor on the calendar (modified following).</x:t>
  </x:si>
  <x:si>
    <x:t>Inputs</x:t>
  </x:si>
  <x:si>
    <x:t>Value</x:t>
  </x:si>
  <x:si>
    <x:t>Valuation date</x:t>
  </x:si>
  <x:si>
    <x:t>Calendar</x:t>
  </x:si>
  <x:si>
    <x:t>TARGET</x:t>
  </x:si>
  <x:si>
    <x:t>Interpolation</x:t>
  </x:si>
  <x:si>
    <x:t>LogLinearDiscount</x:t>
  </x:si>
  <x:si>
    <x:t>Flat curve rate (continuous)</x:t>
  </x:si>
  <x:si>
    <x:t>Day count of the grid</x:t>
  </x:si>
  <x:si>
    <x:t>ACT/365F</x:t>
  </x:si>
  <x:si>
    <x:t>Curve objects</x:t>
  </x:si>
  <x:si>
    <x:t>Handle</x:t>
  </x:si>
  <x:si>
    <x:t>Bootstrapped curve</x:t>
  </x:si>
  <x:si>
    <x:t>Flat curve</x:t>
  </x:si>
  <x:si>
    <x:t>kind:name#version</x:t>
  </x:si>
  <x:si>
    <x:t>Date</x:t>
  </x:si>
  <x:si>
    <x:t>Years</x:t>
  </x:si>
  <x:si>
    <x:t>Discount factor</x:t>
  </x:si>
  <x:si>
    <x:t>Zero (cont.)</x:t>
  </x:si>
  <x:si>
    <x:t>Zero (annual)</x:t>
  </x:si>
  <x:si>
    <x:t>Forward (cont.)</x:t>
  </x:si>
  <x:si>
    <x:t>Flat DF</x:t>
  </x:si>
  <x:si>
    <x:t>Flat zero</x:t>
  </x:si>
  <x:si>
    <x:t>Curve - flat (bp)</x:t>
  </x:si>
  <x:si>
    <x:t>2M</x:t>
  </x:si>
  <x:si>
    <x:t>9M</x:t>
  </x:si>
  <x:si>
    <x:t>1Y</x:t>
  </x:si>
  <x:si>
    <x:t>4Y</x:t>
  </x:si>
  <x:si>
    <x:t>6Y</x:t>
  </x:si>
  <x:si>
    <x:t>8Y</x:t>
  </x:si>
  <x:si>
    <x:t>9Y</x:t>
  </x:si>
  <x:si>
    <x:t>12Y</x:t>
  </x:si>
  <x:si>
    <x:t>25Y</x:t>
  </x:si>
  <x:si>
    <x:t>The forward rate is the continuously compounded rate between the previous grid date and this one (the first row runs from the valuation date).</x:t>
  </x:si>
  <x:si>
    <x:t>The curve extrapolates with a flat forward beyond its last pillar; the swap pillars stop at 30Y.</x:t>
  </x:si>
</x:sst>
</file>

<file path=xl/styles.xml><?xml version="1.0" encoding="utf-8"?>
<x:styleSheet xmlns:x="http://schemas.openxmlformats.org/spreadsheetml/2006/main">
  <x:numFmts count="7">
    <x:numFmt numFmtId="0" formatCode=""/>
    <x:numFmt numFmtId="164" formatCode="0.00%"/>
    <x:numFmt numFmtId="165" formatCode="dd-mmm-yyyy"/>
    <x:numFmt numFmtId="166" formatCode="0.000"/>
    <x:numFmt numFmtId="167" formatCode="0.000000"/>
    <x:numFmt numFmtId="168" formatCode="0.000%"/>
    <x:numFmt numFmtId="169" formatCode="0.0"/>
  </x:numFmts>
  <x:fonts count="7">
    <x:font>
      <x:vertAlign val="baseline"/>
      <x:sz val="11"/>
      <x:color rgb="FF000000"/>
      <x:name val="Calibri"/>
      <x:family val="2"/>
    </x:font>
    <x:font>
      <x:b/>
      <x:vertAlign val="baseline"/>
      <x:sz val="16"/>
      <x:color rgb="FF1F3864"/>
      <x:name val="Calibri"/>
      <x:family val="2"/>
    </x:font>
    <x:font>
      <x:b/>
      <x:vertAlign val="baseline"/>
      <x:sz val="11"/>
      <x:color rgb="FFFFFFFF"/>
      <x:name val="Calibri"/>
      <x:family val="2"/>
    </x:font>
    <x:font>
      <x:u val="single"/>
      <x:vertAlign val="baseline"/>
      <x:sz val="11"/>
      <x:color theme="10"/>
      <x:name val="Calibri"/>
      <x:family val="2"/>
    </x:font>
    <x:font>
      <x:vertAlign val="baseline"/>
      <x:sz val="11"/>
      <x:color rgb="FF0000FF"/>
      <x:name val="Calibri"/>
      <x:family val="2"/>
    </x:font>
    <x:font>
      <x:b/>
      <x:vertAlign val="baseline"/>
      <x:sz val="11"/>
      <x:color rgb="FF000000"/>
      <x:name val="Calibri"/>
      <x:family val="2"/>
    </x:font>
    <x:font>
      <x:i/>
      <x:vertAlign val="baseline"/>
      <x:sz val="11"/>
      <x:color rgb="FF595959"/>
      <x:name val="Calibri"/>
      <x:family val="2"/>
    </x:font>
  </x:fonts>
  <x:fills count="4">
    <x:fill>
      <x:patternFill patternType="none"/>
    </x:fill>
    <x:fill>
      <x:patternFill patternType="gray125"/>
    </x:fill>
    <x:fill>
      <x:patternFill patternType="solid">
        <x:fgColor rgb="FF1F3864"/>
      </x:patternFill>
    </x:fill>
    <x:fill>
      <x:patternFill patternType="solid">
        <x:fgColor rgb="FFFFF2CC"/>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BFBFBF"/>
      </x:left>
      <x:right style="thin">
        <x:color rgb="FFBFBFBF"/>
      </x:right>
      <x:top style="thin">
        <x:color rgb="FFBFBFBF"/>
      </x:top>
      <x:bottom style="thin">
        <x:color rgb="FFBFBFBF"/>
      </x:bottom>
      <x:diagonal style="none">
        <x:color rgb="FF000000"/>
      </x:diagonal>
    </x:border>
  </x:borders>
  <x:cellStyleXfs count="15">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2" borderId="0" applyNumberFormat="1" applyFill="0" applyBorder="0" applyAlignment="1" applyProtection="1">
      <x:protection locked="1" hidden="0"/>
    </x:xf>
    <x:xf numFmtId="0" fontId="3" fillId="0" borderId="0" applyNumberFormat="1" applyFill="1" applyBorder="0" applyAlignment="1" applyProtection="1">
      <x:protection locked="1" hidden="0"/>
    </x:xf>
    <x:xf numFmtId="0" fontId="4" fillId="3" borderId="1" applyNumberFormat="1" applyFill="0" applyBorder="1" applyAlignment="1" applyProtection="1">
      <x:protection locked="1" hidden="0"/>
    </x:xf>
    <x:xf numFmtId="0" fontId="5" fillId="0" borderId="0" applyNumberFormat="1" applyFill="1" applyBorder="0" applyAlignment="1" applyProtection="1">
      <x:protection locked="1" hidden="0"/>
    </x:xf>
    <x:xf numFmtId="0" fontId="6" fillId="0" borderId="0" applyNumberFormat="1" applyFill="1" applyBorder="0" applyAlignment="1" applyProtection="1">
      <x:protection locked="1" hidden="0"/>
    </x:xf>
    <x:xf numFmtId="164" fontId="4" fillId="3" borderId="1" applyNumberFormat="1" applyFill="0" applyBorder="1" applyAlignment="1" applyProtection="1">
      <x:protection locked="1" hidden="0"/>
    </x:xf>
    <x:xf numFmtId="165" fontId="4" fillId="3" borderId="1" applyNumberFormat="1" applyFill="0" applyBorder="1" applyAlignment="1" applyProtection="1">
      <x:protection locked="1" hidden="0"/>
    </x:xf>
    <x:xf numFmtId="0" fontId="0" fillId="0" borderId="1" applyNumberFormat="1" applyFill="1" applyBorder="1" applyAlignment="1" applyProtection="1">
      <x:protection locked="1" hidden="0"/>
    </x:xf>
    <x:xf numFmtId="165" fontId="0" fillId="0" borderId="1" applyNumberFormat="1" applyFill="1" applyBorder="1" applyAlignment="1" applyProtection="1">
      <x:protection locked="1" hidden="0"/>
    </x:xf>
    <x:xf numFmtId="166" fontId="0" fillId="0" borderId="1" applyNumberFormat="1" applyFill="1" applyBorder="1" applyAlignment="1" applyProtection="1">
      <x:protection locked="1" hidden="0"/>
    </x:xf>
    <x:xf numFmtId="167" fontId="0" fillId="0" borderId="1" applyNumberFormat="1" applyFill="1" applyBorder="1" applyAlignment="1" applyProtection="1">
      <x:protection locked="1" hidden="0"/>
    </x:xf>
    <x:xf numFmtId="168" fontId="0" fillId="0" borderId="1" applyNumberFormat="1" applyFill="1" applyBorder="1" applyAlignment="1" applyProtection="1">
      <x:protection locked="1" hidden="0"/>
    </x:xf>
    <x:xf numFmtId="169" fontId="0" fillId="0" borderId="1" applyNumberFormat="1" applyFill="1" applyBorder="1" applyAlignment="1" applyProtection="1">
      <x:protection locked="1" hidden="0"/>
    </x:xf>
  </x:cellStyleXfs>
  <x:cellXfs count="18">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top" textRotation="0" wrapText="1" indent="0" relativeIndent="0" justifyLastLine="0" shrinkToFit="0" readingOrder="0"/>
      <x:protection locked="1" hidden="0"/>
    </x:xf>
    <x:xf numFmtId="0" fontId="2" fillId="2" borderId="0" xfId="0" applyNumberFormat="1" applyFill="0" applyBorder="0" applyAlignment="1" applyProtection="1">
      <x:alignment horizontal="general" vertical="top" textRotation="0" wrapText="1"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3" borderId="1" xfId="0" applyNumberFormat="1" applyFill="0" applyBorder="1" applyAlignment="1" applyProtection="1">
      <x:alignment horizontal="general" vertical="bottom" textRotation="0" wrapText="0" indent="0" relativeIndent="0" justifyLastLine="0" shrinkToFit="0" readingOrder="0"/>
      <x:protection locked="1" hidden="0"/>
    </x:xf>
    <x:xf numFmtId="0" fontId="5"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6"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2" borderId="0" xfId="0" applyNumberFormat="1" applyFill="0" applyBorder="0" applyAlignment="1" applyProtection="1">
      <x:alignment horizontal="left" vertical="bottom" textRotation="0" wrapText="1" indent="0" relativeIndent="0" justifyLastLine="0" shrinkToFit="0" readingOrder="0"/>
      <x:protection locked="1" hidden="0"/>
    </x:xf>
    <x:xf numFmtId="0" fontId="2" fillId="2" borderId="0" xfId="0" applyNumberFormat="1" applyFill="0" applyBorder="0" applyAlignment="1" applyProtection="1">
      <x:alignment horizontal="center" vertical="bottom" textRotation="0" wrapText="1" indent="0" relativeIndent="0" justifyLastLine="0" shrinkToFit="0" readingOrder="0"/>
      <x:protection locked="1" hidden="0"/>
    </x:xf>
    <x:xf numFmtId="164" fontId="4" fillId="3" borderId="1" xfId="0" applyNumberFormat="1" applyFill="0" applyBorder="1" applyAlignment="1" applyProtection="1">
      <x:alignment horizontal="general" vertical="bottom" textRotation="0" wrapText="0" indent="0" relativeIndent="0" justifyLastLine="0" shrinkToFit="0" readingOrder="0"/>
      <x:protection locked="1" hidden="0"/>
    </x:xf>
    <x:xf numFmtId="165" fontId="4" fillId="3" borderId="1" xfId="0" applyNumberFormat="1" applyFill="0" applyBorder="1" applyAlignment="1" applyProtection="1">
      <x:alignment horizontal="general" vertical="bottom" textRotation="0" wrapText="0"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165"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166"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167"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168"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169" fontId="0" fillId="0" borderId="1" xfId="0" applyNumberFormat="1" applyFill="1" applyBorder="1"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5" /><Relationship Type="http://schemas.openxmlformats.org/officeDocument/2006/relationships/styles" Target="/xl/styles.xml" Id="rId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calcChain" Target="/xl/calcChain.xml" Id="rId8" /><Relationship Type="http://schemas.openxmlformats.org/officeDocument/2006/relationships/theme" Target="/xl/theme/theme1.xml" Id="rId9" /></Relationships>
</file>

<file path=xl/charts/chart1.xml><?xml version="1.0" encoding="utf-8"?>
<c:chartSpace xmlns:c="http://schemas.openxmlformats.org/drawingml/2006/chart" xmlns:a="http://schemas.openxmlformats.org/drawingml/2006/main" xmlns:r="http://schemas.openxmlformats.org/officeDocument/2006/relationships">
  <c:roundedCorners val="0"/>
  <c:chart>
    <c:title>
      <c:tx>
        <c:rich>
          <a:bodyPr/>
          <a:lstStyle/>
          <a:p>
            <a:pPr>
              <a:defRPr sz="1200" b="1"/>
            </a:pPr>
            <a:r>
              <a:rPr lang="en-US" sz="1200" b="1"/>
              <a:t>Zero and forward curves</a:t>
            </a:r>
          </a:p>
        </c:rich>
      </c:tx>
      <c:overlay val="0"/>
    </c:title>
    <c:autoTitleDeleted val="0"/>
    <c:plotArea>
      <c:layout/>
      <c:scatterChart>
        <c:scatterStyle val="lineMarker"/>
        <c:varyColors val="0"/>
        <c:ser>
          <c:idx val="0"/>
          <c:order val="0"/>
          <c:tx>
            <c:v>Zero (continuous)</c:v>
          </c:tx>
          <c:spPr>
            <a:ln w="22225" cap="rnd">
              <a:solidFill>
                <a:srgbClr val="1F4E79"/>
              </a:solidFill>
              <a:round/>
            </a:ln>
          </c:spPr>
          <c:marker>
            <c:symbol val="circle"/>
            <c:size val="6"/>
            <c:spPr>
              <a:solidFill>
                <a:srgbClr val="1F4E79"/>
              </a:solidFill>
              <a:ln w="9525">
                <a:solidFill>
                  <a:srgbClr val="1F4E79"/>
                </a:solidFill>
              </a:ln>
            </c:spPr>
          </c:marker>
          <c:xVal>
            <c:numRef>
              <c:f>'Curve'!$D$16:$D$35</c:f>
            </c:numRef>
          </c:xVal>
          <c:yVal>
            <c:numRef>
              <c:f>'Curve'!$F$16:$F$35</c:f>
            </c:numRef>
          </c:yVal>
          <c:smooth val="0"/>
        </c:ser>
        <c:ser>
          <c:idx val="1"/>
          <c:order val="1"/>
          <c:tx>
            <c:v>Forward (continuous)</c:v>
          </c:tx>
          <c:spPr>
            <a:ln w="22225" cap="rnd">
              <a:solidFill>
                <a:srgbClr val="C55A11"/>
              </a:solidFill>
              <a:round/>
            </a:ln>
          </c:spPr>
          <c:marker>
            <c:symbol val="none"/>
          </c:marker>
          <c:xVal>
            <c:numRef>
              <c:f>'Curve'!$D$16:$D$35</c:f>
            </c:numRef>
          </c:xVal>
          <c:yVal>
            <c:numRef>
              <c:f>'Curve'!$H$16:$H$35</c:f>
            </c:numRef>
          </c:yVal>
          <c:smooth val="0"/>
        </c:ser>
        <c:ser>
          <c:idx val="2"/>
          <c:order val="2"/>
          <c:tx>
            <c:v>Flat curve</c:v>
          </c:tx>
          <c:spPr>
            <a:ln w="22225" cap="rnd">
              <a:solidFill>
                <a:srgbClr val="7F7F7F"/>
              </a:solidFill>
              <a:round/>
            </a:ln>
          </c:spPr>
          <c:marker>
            <c:symbol val="none"/>
          </c:marker>
          <c:xVal>
            <c:numRef>
              <c:f>'Curve'!$D$16:$D$35</c:f>
            </c:numRef>
          </c:xVal>
          <c:yVal>
            <c:numRef>
              <c:f>'Curve'!$J$16:$J$35</c:f>
            </c:numRef>
          </c:yVal>
          <c:smooth val="0"/>
        </c:ser>
        <c:axId val="50010"/>
        <c:axId val="50020"/>
      </c:scatterChart>
      <c:valAx>
        <c:axId val="50010"/>
        <c:scaling>
          <c:orientation val="minMax"/>
        </c:scaling>
        <c:delete val="0"/>
        <c:axPos val="b"/>
        <c:title>
          <c:tx>
            <c:rich>
              <a:bodyPr/>
              <a:lstStyle/>
              <a:p>
                <a:pPr>
                  <a:defRPr sz="1000" b="0"/>
                </a:pPr>
                <a:r>
                  <a:rPr lang="en-US" sz="1000" b="0"/>
                  <a:t>Years</a:t>
                </a:r>
              </a:p>
            </c:rich>
          </c:tx>
          <c:overlay val="0"/>
        </c:title>
        <c:numFmt formatCode="0" sourceLinked="0"/>
        <c:majorTickMark val="out"/>
        <c:minorTickMark val="none"/>
        <c:tickLblPos val="low"/>
        <c:crossAx val="50020"/>
        <c:crosses val="autoZero"/>
        <c:crossBetween val="midCat"/>
      </c:valAx>
      <c:valAx>
        <c:axId val="50020"/>
        <c:scaling>
          <c:orientation val="minMax"/>
        </c:scaling>
        <c:delete val="0"/>
        <c:axPos val="l"/>
        <c:majorGridlines>
          <c:spPr>
            <a:ln w="6350">
              <a:solidFill>
                <a:srgbClr val="D9D9D9"/>
              </a:solidFill>
            </a:ln>
          </c:spPr>
        </c:majorGridlines>
        <c:title>
          <c:tx>
            <c:rich>
              <a:bodyPr/>
              <a:lstStyle/>
              <a:p>
                <a:pPr>
                  <a:defRPr sz="1000" b="0"/>
                </a:pPr>
                <a:r>
                  <a:rPr lang="en-US" sz="1000" b="0"/>
                  <a:t>Rate</a:t>
                </a:r>
              </a:p>
            </c:rich>
          </c:tx>
          <c:overlay val="0"/>
        </c:title>
        <c:numFmt formatCode="0.0%" sourceLinked="0"/>
        <c:majorTickMark val="out"/>
        <c:minorTickMark val="none"/>
        <c:tickLblPos val="low"/>
        <c:crossAx val="50010"/>
        <c:crosses val="autoZero"/>
        <c:crossBetween val="midCat"/>
      </c:valAx>
    </c:plotArea>
    <c:legend>
      <c:legendPos val="b"/>
      <c:overlay val="0"/>
    </c:legend>
    <c:plotVisOnly val="1"/>
    <c:dispBlanksAs val="gap"/>
  </c:chart>
</c:chartSpace>
</file>

<file path=xl/charts/chart2.xml><?xml version="1.0" encoding="utf-8"?>
<c:chartSpace xmlns:c="http://schemas.openxmlformats.org/drawingml/2006/chart" xmlns:a="http://schemas.openxmlformats.org/drawingml/2006/main" xmlns:r="http://schemas.openxmlformats.org/officeDocument/2006/relationships">
  <c:roundedCorners val="0"/>
  <c:chart>
    <c:title>
      <c:tx>
        <c:rich>
          <a:bodyPr/>
          <a:lstStyle/>
          <a:p>
            <a:pPr>
              <a:defRPr sz="1200" b="1"/>
            </a:pPr>
            <a:r>
              <a:rPr lang="en-US" sz="1200" b="1"/>
              <a:t>Discount factors</a:t>
            </a:r>
          </a:p>
        </c:rich>
      </c:tx>
      <c:overlay val="0"/>
    </c:title>
    <c:autoTitleDeleted val="0"/>
    <c:plotArea>
      <c:layout/>
      <c:scatterChart>
        <c:scatterStyle val="lineMarker"/>
        <c:varyColors val="0"/>
        <c:ser>
          <c:idx val="0"/>
          <c:order val="0"/>
          <c:tx>
            <c:v>Bootstrapped curve</c:v>
          </c:tx>
          <c:spPr>
            <a:ln w="22225" cap="rnd">
              <a:solidFill>
                <a:srgbClr val="1F4E79"/>
              </a:solidFill>
              <a:round/>
            </a:ln>
          </c:spPr>
          <c:marker>
            <c:symbol val="circle"/>
            <c:size val="6"/>
            <c:spPr>
              <a:solidFill>
                <a:srgbClr val="1F4E79"/>
              </a:solidFill>
              <a:ln w="9525">
                <a:solidFill>
                  <a:srgbClr val="1F4E79"/>
                </a:solidFill>
              </a:ln>
            </c:spPr>
          </c:marker>
          <c:xVal>
            <c:numRef>
              <c:f>'Curve'!$D$16:$D$35</c:f>
            </c:numRef>
          </c:xVal>
          <c:yVal>
            <c:numRef>
              <c:f>'Curve'!$E$16:$E$35</c:f>
            </c:numRef>
          </c:yVal>
          <c:smooth val="0"/>
        </c:ser>
        <c:ser>
          <c:idx val="1"/>
          <c:order val="1"/>
          <c:tx>
            <c:v>Flat curve</c:v>
          </c:tx>
          <c:spPr>
            <a:ln w="22225" cap="rnd">
              <a:solidFill>
                <a:srgbClr val="7F7F7F"/>
              </a:solidFill>
              <a:round/>
            </a:ln>
          </c:spPr>
          <c:marker>
            <c:symbol val="none"/>
          </c:marker>
          <c:xVal>
            <c:numRef>
              <c:f>'Curve'!$D$16:$D$35</c:f>
            </c:numRef>
          </c:xVal>
          <c:yVal>
            <c:numRef>
              <c:f>'Curve'!$I$16:$I$35</c:f>
            </c:numRef>
          </c:yVal>
          <c:smooth val="0"/>
        </c:ser>
        <c:axId val="50010"/>
        <c:axId val="50020"/>
      </c:scatterChart>
      <c:valAx>
        <c:axId val="50010"/>
        <c:scaling>
          <c:orientation val="minMax"/>
        </c:scaling>
        <c:delete val="0"/>
        <c:axPos val="b"/>
        <c:title>
          <c:tx>
            <c:rich>
              <a:bodyPr/>
              <a:lstStyle/>
              <a:p>
                <a:pPr>
                  <a:defRPr sz="1000" b="0"/>
                </a:pPr>
                <a:r>
                  <a:rPr lang="en-US" sz="1000" b="0"/>
                  <a:t>Years</a:t>
                </a:r>
              </a:p>
            </c:rich>
          </c:tx>
          <c:overlay val="0"/>
        </c:title>
        <c:numFmt formatCode="0" sourceLinked="0"/>
        <c:majorTickMark val="out"/>
        <c:minorTickMark val="none"/>
        <c:tickLblPos val="low"/>
        <c:crossAx val="50020"/>
        <c:crosses val="autoZero"/>
        <c:crossBetween val="midCat"/>
      </c:valAx>
      <c:valAx>
        <c:axId val="50020"/>
        <c:scaling>
          <c:orientation val="minMax"/>
        </c:scaling>
        <c:delete val="0"/>
        <c:axPos val="l"/>
        <c:majorGridlines>
          <c:spPr>
            <a:ln w="6350">
              <a:solidFill>
                <a:srgbClr val="D9D9D9"/>
              </a:solidFill>
            </a:ln>
          </c:spPr>
        </c:majorGridlines>
        <c:title>
          <c:tx>
            <c:rich>
              <a:bodyPr/>
              <a:lstStyle/>
              <a:p>
                <a:pPr>
                  <a:defRPr sz="1000" b="0"/>
                </a:pPr>
                <a:r>
                  <a:rPr lang="en-US" sz="1000" b="0"/>
                  <a:t>Discount factor</a:t>
                </a:r>
              </a:p>
            </c:rich>
          </c:tx>
          <c:overlay val="0"/>
        </c:title>
        <c:numFmt formatCode="0.00" sourceLinked="0"/>
        <c:majorTickMark val="out"/>
        <c:minorTickMark val="none"/>
        <c:tickLblPos val="low"/>
        <c:crossAx val="50010"/>
        <c:crosses val="autoZero"/>
        <c:crossBetween val="midCat"/>
      </c:valAx>
    </c:plotArea>
    <c:legend>
      <c:legendPos val="b"/>
      <c:overlay val="0"/>
    </c:legend>
    <c:plotVisOnly val="1"/>
    <c:dispBlanksAs val="gap"/>
  </c:chart>
</c:chartSpace>
</file>

<file path=xl/drawings/_rels/drawing1.xml.rels><?xml version="1.0" encoding="utf-8"?><Relationships xmlns="http://schemas.openxmlformats.org/package/2006/relationships"><Relationship Id="rId1" Type="http://schemas.openxmlformats.org/officeDocument/2006/relationships/chart" Target="../charts/chart1.xml" /><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dr:twoCellAnchor>
    <xdr:from>
      <xdr:col>12</xdr:col>
      <xdr:colOff>0</xdr:colOff>
      <xdr:row>3</xdr:row>
      <xdr:rowOff>0</xdr:rowOff>
    </xdr:from>
    <xdr:to>
      <xdr:col>20</xdr:col>
      <xdr:colOff>0</xdr:colOff>
      <xdr:row>21</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22</xdr:row>
      <xdr:rowOff>0</xdr:rowOff>
    </xdr:from>
    <xdr:to>
      <xdr:col>20</xdr:col>
      <xdr:colOff>0</xdr:colOff>
      <xdr:row>39</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hyperlink" Target="https://github.com/infineco/quant-finance-library/blob/main/docs/excel.md" TargetMode="External" Id="rId7" /></Relationships>
</file>

<file path=xl/worksheets/_rels/sheet3.xml.rels><?xml version="1.0" encoding="utf-8"?><Relationships xmlns="http://schemas.openxmlformats.org/package/2006/relationships"><Relationship Id="rId1" Type="http://schemas.openxmlformats.org/officeDocument/2006/relationships/drawing" Target="../drawings/drawing1.xml"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tabColor rgb="FF7F7F7F"/>
    <x:outlinePr summaryBelow="1" summaryRight="1"/>
  </x:sheetPr>
  <x:dimension ref="A1:B28"/>
  <x:sheetViews>
    <x:sheetView showGridLines="0" workbookViewId="0"/>
  </x:sheetViews>
  <x:sheetFormatPr defaultRowHeight="15"/>
  <x:cols>
    <x:col min="1" max="1" width="2.710625" style="0" customWidth="1"/>
    <x:col min="2" max="2" width="118.710625" style="0" customWidth="1"/>
  </x:cols>
  <x:sheetData>
    <x:row r="2" spans="1:2">
      <x:c r="B2" s="1" t="s">
        <x:v>0</x:v>
      </x:c>
    </x:row>
    <x:row r="3" spans="1:2">
      <x:c r="B3" s="2" t="s">
        <x:v>1</x:v>
      </x:c>
    </x:row>
    <x:row r="5" spans="1:2">
      <x:c r="B5" s="3" t="s">
        <x:v>2</x:v>
      </x:c>
    </x:row>
    <x:row r="6" spans="1:2">
      <x:c r="B6" s="2" t="s">
        <x:v>3</x:v>
      </x:c>
    </x:row>
    <x:row r="7" spans="1:2">
      <x:c r="B7" s="2" t="s">
        <x:v>4</x:v>
      </x:c>
    </x:row>
    <x:row r="9" spans="1:2">
      <x:c r="B9" s="2" t="s">
        <x:v>5</x:v>
      </x:c>
    </x:row>
    <x:row r="10" spans="1:2">
      <x:c r="B10" s="2" t="s">
        <x:v>6</x:v>
      </x:c>
    </x:row>
    <x:row r="12" spans="1:2">
      <x:c r="B12" s="3" t="s">
        <x:v>7</x:v>
      </x:c>
    </x:row>
    <x:row r="13" spans="1:2">
      <x:c r="B13" s="2" t="s">
        <x:v>8</x:v>
      </x:c>
    </x:row>
    <x:row r="14" spans="1:2">
      <x:c r="B14" s="2" t="s">
        <x:v>9</x:v>
      </x:c>
    </x:row>
    <x:row r="15" spans="1:2">
      <x:c r="B15" s="2" t="s">
        <x:v>10</x:v>
      </x:c>
    </x:row>
    <x:row r="16" spans="1:2">
      <x:c r="B16" s="2" t="s">
        <x:v>11</x:v>
      </x:c>
    </x:row>
    <x:row r="17" spans="1:2">
      <x:c r="B17" s="4" t="s">
        <x:v>12</x:v>
      </x:c>
    </x:row>
    <x:row r="19" spans="1:2">
      <x:c r="B19" s="3" t="s">
        <x:v>13</x:v>
      </x:c>
    </x:row>
    <x:row r="20" spans="1:2">
      <x:c r="B20" s="5" t="s">
        <x:v>14</x:v>
      </x:c>
    </x:row>
    <x:row r="21" spans="1:2">
      <x:c r="B21" s="0" t="s">
        <x:v>15</x:v>
      </x:c>
    </x:row>
    <x:row r="23" spans="1:2">
      <x:c r="B23" s="3" t="s">
        <x:v>16</x:v>
      </x:c>
    </x:row>
    <x:row r="24" spans="1:2">
      <x:c r="B24" s="6">
        <x:f>"   Add-in status: "&amp;IF(ISERROR(QF.VERSION()),"NOT LOADED (QF.* cells show #NAME?)","loaded, version "&amp;QF.VERSION())</x:f>
      </x:c>
    </x:row>
    <x:row r="25" spans="1:2">
      <x:c r="B25" s="0">
        <x:f>"   Last error reported by the add-in (QF.LASTERROR): "&amp;IFERROR(QF.LASTERROR(),"(add-in not loaded)")</x:f>
      </x:c>
    </x:row>
    <x:row r="26" spans="1:2">
      <x:c r="B26" s="2" t="s">
        <x:v>17</x:v>
      </x:c>
    </x:row>
    <x:row r="28" spans="1:2">
      <x:c r="B28" s="2" t="s">
        <x:v>18</x:v>
      </x:c>
    </x:row>
  </x:sheetData>
  <x:hyperlinks>
    <x:hyperlink ref="B17" r:id="rId7"/>
  </x:hyperlink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18"/>
  <x:sheetViews>
    <x:sheetView showGridLines="0" workbookViewId="0"/>
  </x:sheetViews>
  <x:sheetFormatPr defaultRowHeight="15"/>
  <x:cols>
    <x:col min="1" max="1" width="2.710625" style="0" customWidth="1"/>
    <x:col min="2" max="2" width="14.710625" style="0" customWidth="1"/>
    <x:col min="3" max="3" width="10.710625" style="0" customWidth="1"/>
    <x:col min="4" max="4" width="12.710625" style="0" customWidth="1"/>
  </x:cols>
  <x:sheetData>
    <x:row r="1" spans="1:4">
      <x:c r="B1" s="1" t="s">
        <x:v>19</x:v>
      </x:c>
    </x:row>
    <x:row r="2" spans="1:4">
      <x:c r="B2" s="7" t="s">
        <x:v>20</x:v>
      </x:c>
    </x:row>
    <x:row r="4" spans="1:4">
      <x:c r="B4" s="8" t="s">
        <x:v>21</x:v>
      </x:c>
      <x:c r="C4" s="9" t="s">
        <x:v>22</x:v>
      </x:c>
      <x:c r="D4" s="9" t="s">
        <x:v>23</x:v>
      </x:c>
    </x:row>
    <x:row r="5" spans="1:4">
      <x:c r="B5" s="5" t="s">
        <x:v>24</x:v>
      </x:c>
      <x:c r="C5" s="5" t="s">
        <x:v>25</x:v>
      </x:c>
      <x:c r="D5" s="10">
        <x:v>0.0288</x:v>
      </x:c>
    </x:row>
    <x:row r="6" spans="1:4">
      <x:c r="B6" s="5" t="s">
        <x:v>24</x:v>
      </x:c>
      <x:c r="C6" s="5" t="s">
        <x:v>26</x:v>
      </x:c>
      <x:c r="D6" s="10">
        <x:v>0.0274</x:v>
      </x:c>
    </x:row>
    <x:row r="7" spans="1:4">
      <x:c r="B7" s="5" t="s">
        <x:v>24</x:v>
      </x:c>
      <x:c r="C7" s="5" t="s">
        <x:v>27</x:v>
      </x:c>
      <x:c r="D7" s="10">
        <x:v>0.0258</x:v>
      </x:c>
    </x:row>
    <x:row r="8" spans="1:4">
      <x:c r="B8" s="5" t="s">
        <x:v>28</x:v>
      </x:c>
      <x:c r="C8" s="5" t="s">
        <x:v>29</x:v>
      </x:c>
      <x:c r="D8" s="10">
        <x:v>0.0242</x:v>
      </x:c>
    </x:row>
    <x:row r="9" spans="1:4">
      <x:c r="B9" s="5" t="s">
        <x:v>30</x:v>
      </x:c>
      <x:c r="C9" s="5" t="s">
        <x:v>31</x:v>
      </x:c>
      <x:c r="D9" s="10">
        <x:v>0.0215</x:v>
      </x:c>
    </x:row>
    <x:row r="10" spans="1:4">
      <x:c r="B10" s="5" t="s">
        <x:v>30</x:v>
      </x:c>
      <x:c r="C10" s="5" t="s">
        <x:v>32</x:v>
      </x:c>
      <x:c r="D10" s="10">
        <x:v>0.0215</x:v>
      </x:c>
    </x:row>
    <x:row r="11" spans="1:4">
      <x:c r="B11" s="5" t="s">
        <x:v>30</x:v>
      </x:c>
      <x:c r="C11" s="5" t="s">
        <x:v>33</x:v>
      </x:c>
      <x:c r="D11" s="10">
        <x:v>0.0224</x:v>
      </x:c>
    </x:row>
    <x:row r="12" spans="1:4">
      <x:c r="B12" s="5" t="s">
        <x:v>30</x:v>
      </x:c>
      <x:c r="C12" s="5" t="s">
        <x:v>34</x:v>
      </x:c>
      <x:c r="D12" s="10">
        <x:v>0.0236</x:v>
      </x:c>
    </x:row>
    <x:row r="13" spans="1:4">
      <x:c r="B13" s="5" t="s">
        <x:v>30</x:v>
      </x:c>
      <x:c r="C13" s="5" t="s">
        <x:v>35</x:v>
      </x:c>
      <x:c r="D13" s="10">
        <x:v>0.0251</x:v>
      </x:c>
    </x:row>
    <x:row r="14" spans="1:4">
      <x:c r="B14" s="5" t="s">
        <x:v>30</x:v>
      </x:c>
      <x:c r="C14" s="5" t="s">
        <x:v>36</x:v>
      </x:c>
      <x:c r="D14" s="10">
        <x:v>0.0263</x:v>
      </x:c>
    </x:row>
    <x:row r="15" spans="1:4">
      <x:c r="B15" s="5" t="s">
        <x:v>30</x:v>
      </x:c>
      <x:c r="C15" s="5" t="s">
        <x:v>37</x:v>
      </x:c>
      <x:c r="D15" s="10">
        <x:v>0.026</x:v>
      </x:c>
    </x:row>
    <x:row r="16" spans="1:4">
      <x:c r="B16" s="5" t="s">
        <x:v>30</x:v>
      </x:c>
      <x:c r="C16" s="5" t="s">
        <x:v>38</x:v>
      </x:c>
      <x:c r="D16" s="10">
        <x:v>0.024</x:v>
      </x:c>
    </x:row>
    <x:row r="18" spans="1:4">
      <x:c r="B18" s="7" t="s">
        <x:v>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38"/>
  <x:sheetViews>
    <x:sheetView showGridLines="0" workbookViewId="0"/>
  </x:sheetViews>
  <x:sheetFormatPr defaultRowHeight="15"/>
  <x:cols>
    <x:col min="1" max="1" width="2.710625" style="0" customWidth="1"/>
    <x:col min="2" max="2" width="30.710625" style="0" customWidth="1"/>
    <x:col min="3" max="3" width="18.710625" style="0" customWidth="1"/>
    <x:col min="4" max="5" width="10.710625" style="0" customWidth="1"/>
    <x:col min="6" max="8" width="12.710625" style="0" customWidth="1"/>
    <x:col min="9" max="10" width="10.710625" style="0" customWidth="1"/>
    <x:col min="11" max="11" width="12.710625" style="0" customWidth="1"/>
  </x:cols>
  <x:sheetData>
    <x:row r="1" spans="1:11">
      <x:c r="B1" s="1" t="s">
        <x:v>40</x:v>
      </x:c>
    </x:row>
    <x:row r="2" spans="1:11">
      <x:c r="B2" s="7" t="s">
        <x:v>41</x:v>
      </x:c>
    </x:row>
    <x:row r="4" spans="1:11">
      <x:c r="B4" s="8" t="s">
        <x:v>42</x:v>
      </x:c>
      <x:c r="C4" s="9" t="s">
        <x:v>43</x:v>
      </x:c>
    </x:row>
    <x:row r="5" spans="1:11">
      <x:c r="B5" s="0" t="s">
        <x:v>44</x:v>
      </x:c>
      <x:c r="C5" s="11">
        <x:v>45672</x:v>
      </x:c>
    </x:row>
    <x:row r="6" spans="1:11">
      <x:c r="B6" s="0" t="s">
        <x:v>45</x:v>
      </x:c>
      <x:c r="C6" s="5" t="s">
        <x:v>46</x:v>
      </x:c>
    </x:row>
    <x:row r="7" spans="1:11">
      <x:c r="B7" s="0" t="s">
        <x:v>47</x:v>
      </x:c>
      <x:c r="C7" s="5" t="s">
        <x:v>48</x:v>
      </x:c>
    </x:row>
    <x:row r="8" spans="1:11">
      <x:c r="B8" s="0" t="s">
        <x:v>49</x:v>
      </x:c>
      <x:c r="C8" s="10">
        <x:v>0.025</x:v>
      </x:c>
    </x:row>
    <x:row r="9" spans="1:11">
      <x:c r="B9" s="0" t="s">
        <x:v>50</x:v>
      </x:c>
      <x:c r="C9" s="5" t="s">
        <x:v>51</x:v>
      </x:c>
    </x:row>
    <x:row r="11" spans="1:11">
      <x:c r="B11" s="8" t="s">
        <x:v>52</x:v>
      </x:c>
      <x:c r="C11" s="9" t="s">
        <x:v>53</x:v>
      </x:c>
    </x:row>
    <x:row r="12" spans="1:11">
      <x:c r="B12" s="0" t="s">
        <x:v>54</x:v>
      </x:c>
      <x:c r="C12" s="12">
        <x:f>QF.CURVE.BOOTSTRAP("SAMPLE03_EUR",ValDate,InstTypes,InstTenors,InstQuotes,Interp,Cal)</x:f>
      </x:c>
      <x:c r="D12" s="7" t="s">
        <x:v>56</x:v>
      </x:c>
    </x:row>
    <x:row r="13" spans="1:11">
      <x:c r="B13" s="0" t="s">
        <x:v>55</x:v>
      </x:c>
      <x:c r="C13" s="12">
        <x:f>QF.CURVE.FLAT("SAMPLE03_FLAT",ValDate,FlatRate,DayCount)</x:f>
      </x:c>
    </x:row>
    <x:row r="15" spans="1:11">
      <x:c r="B15" s="8" t="s">
        <x:v>22</x:v>
      </x:c>
      <x:c r="C15" s="9" t="s">
        <x:v>57</x:v>
      </x:c>
      <x:c r="D15" s="9" t="s">
        <x:v>58</x:v>
      </x:c>
      <x:c r="E15" s="9" t="s">
        <x:v>59</x:v>
      </x:c>
      <x:c r="F15" s="9" t="s">
        <x:v>60</x:v>
      </x:c>
      <x:c r="G15" s="9" t="s">
        <x:v>61</x:v>
      </x:c>
      <x:c r="H15" s="9" t="s">
        <x:v>62</x:v>
      </x:c>
      <x:c r="I15" s="9" t="s">
        <x:v>63</x:v>
      </x:c>
      <x:c r="J15" s="9" t="s">
        <x:v>64</x:v>
      </x:c>
      <x:c r="K15" s="9" t="s">
        <x:v>65</x:v>
      </x:c>
    </x:row>
    <x:row r="16" spans="1:11">
      <x:c r="B16" s="5" t="s">
        <x:v>25</x:v>
      </x:c>
      <x:c r="C16" s="13">
        <x:f>QF.DATE.ADVANCE(ValDate,B16,Cal)</x:f>
      </x:c>
      <x:c r="D16" s="14">
        <x:f>QF.YEARFRAC(ValDate,C16,DayCount)</x:f>
      </x:c>
      <x:c r="E16" s="15">
        <x:f>QF.CURVE.DF(CurveHandle,C16)</x:f>
      </x:c>
      <x:c r="F16" s="16">
        <x:f>QF.CURVE.ZERO(CurveHandle,C16)</x:f>
      </x:c>
      <x:c r="G16" s="16">
        <x:f>QF.CURVE.ZERO(CurveHandle,C16,"Annual")</x:f>
      </x:c>
      <x:c r="H16" s="16">
        <x:f>-LN(E16)/D16</x:f>
      </x:c>
      <x:c r="I16" s="15">
        <x:f>QF.CURVE.DF(FlatHandle,C16)</x:f>
      </x:c>
      <x:c r="J16" s="16">
        <x:f>QF.CURVE.ZERO(FlatHandle,C16)</x:f>
      </x:c>
      <x:c r="K16" s="17">
        <x:f>(F16-J16)*10000</x:f>
      </x:c>
    </x:row>
    <x:row r="17" spans="1:11">
      <x:c r="B17" s="5" t="s">
        <x:v>66</x:v>
      </x:c>
      <x:c r="C17" s="13">
        <x:f>QF.DATE.ADVANCE(ValDate,B17,Cal)</x:f>
      </x:c>
      <x:c r="D17" s="14">
        <x:f>QF.YEARFRAC(ValDate,C17,DayCount)</x:f>
      </x:c>
      <x:c r="E17" s="15">
        <x:f>QF.CURVE.DF(CurveHandle,C17)</x:f>
      </x:c>
      <x:c r="F17" s="16">
        <x:f>QF.CURVE.ZERO(CurveHandle,C17)</x:f>
      </x:c>
      <x:c r="G17" s="16">
        <x:f>QF.CURVE.ZERO(CurveHandle,C17,"Annual")</x:f>
      </x:c>
      <x:c r="H17" s="16">
        <x:f>LN(E16/E17)/(D17-D16)</x:f>
      </x:c>
      <x:c r="I17" s="15">
        <x:f>QF.CURVE.DF(FlatHandle,C17)</x:f>
      </x:c>
      <x:c r="J17" s="16">
        <x:f>QF.CURVE.ZERO(FlatHandle,C17)</x:f>
      </x:c>
      <x:c r="K17" s="17">
        <x:f>(F17-J17)*10000</x:f>
      </x:c>
    </x:row>
    <x:row r="18" spans="1:11">
      <x:c r="B18" s="5" t="s">
        <x:v>26</x:v>
      </x:c>
      <x:c r="C18" s="13">
        <x:f>QF.DATE.ADVANCE(ValDate,B18,Cal)</x:f>
      </x:c>
      <x:c r="D18" s="14">
        <x:f>QF.YEARFRAC(ValDate,C18,DayCount)</x:f>
      </x:c>
      <x:c r="E18" s="15">
        <x:f>QF.CURVE.DF(CurveHandle,C18)</x:f>
      </x:c>
      <x:c r="F18" s="16">
        <x:f>QF.CURVE.ZERO(CurveHandle,C18)</x:f>
      </x:c>
      <x:c r="G18" s="16">
        <x:f>QF.CURVE.ZERO(CurveHandle,C18,"Annual")</x:f>
      </x:c>
      <x:c r="H18" s="16">
        <x:f>LN(E17/E18)/(D18-D17)</x:f>
      </x:c>
      <x:c r="I18" s="15">
        <x:f>QF.CURVE.DF(FlatHandle,C18)</x:f>
      </x:c>
      <x:c r="J18" s="16">
        <x:f>QF.CURVE.ZERO(FlatHandle,C18)</x:f>
      </x:c>
      <x:c r="K18" s="17">
        <x:f>(F18-J18)*10000</x:f>
      </x:c>
    </x:row>
    <x:row r="19" spans="1:11">
      <x:c r="B19" s="5" t="s">
        <x:v>27</x:v>
      </x:c>
      <x:c r="C19" s="13">
        <x:f>QF.DATE.ADVANCE(ValDate,B19,Cal)</x:f>
      </x:c>
      <x:c r="D19" s="14">
        <x:f>QF.YEARFRAC(ValDate,C19,DayCount)</x:f>
      </x:c>
      <x:c r="E19" s="15">
        <x:f>QF.CURVE.DF(CurveHandle,C19)</x:f>
      </x:c>
      <x:c r="F19" s="16">
        <x:f>QF.CURVE.ZERO(CurveHandle,C19)</x:f>
      </x:c>
      <x:c r="G19" s="16">
        <x:f>QF.CURVE.ZERO(CurveHandle,C19,"Annual")</x:f>
      </x:c>
      <x:c r="H19" s="16">
        <x:f>LN(E18/E19)/(D19-D18)</x:f>
      </x:c>
      <x:c r="I19" s="15">
        <x:f>QF.CURVE.DF(FlatHandle,C19)</x:f>
      </x:c>
      <x:c r="J19" s="16">
        <x:f>QF.CURVE.ZERO(FlatHandle,C19)</x:f>
      </x:c>
      <x:c r="K19" s="17">
        <x:f>(F19-J19)*10000</x:f>
      </x:c>
    </x:row>
    <x:row r="20" spans="1:11">
      <x:c r="B20" s="5" t="s">
        <x:v>67</x:v>
      </x:c>
      <x:c r="C20" s="13">
        <x:f>QF.DATE.ADVANCE(ValDate,B20,Cal)</x:f>
      </x:c>
      <x:c r="D20" s="14">
        <x:f>QF.YEARFRAC(ValDate,C20,DayCount)</x:f>
      </x:c>
      <x:c r="E20" s="15">
        <x:f>QF.CURVE.DF(CurveHandle,C20)</x:f>
      </x:c>
      <x:c r="F20" s="16">
        <x:f>QF.CURVE.ZERO(CurveHandle,C20)</x:f>
      </x:c>
      <x:c r="G20" s="16">
        <x:f>QF.CURVE.ZERO(CurveHandle,C20,"Annual")</x:f>
      </x:c>
      <x:c r="H20" s="16">
        <x:f>LN(E19/E20)/(D20-D19)</x:f>
      </x:c>
      <x:c r="I20" s="15">
        <x:f>QF.CURVE.DF(FlatHandle,C20)</x:f>
      </x:c>
      <x:c r="J20" s="16">
        <x:f>QF.CURVE.ZERO(FlatHandle,C20)</x:f>
      </x:c>
      <x:c r="K20" s="17">
        <x:f>(F20-J20)*10000</x:f>
      </x:c>
    </x:row>
    <x:row r="21" spans="1:11">
      <x:c r="B21" s="5" t="s">
        <x:v>68</x:v>
      </x:c>
      <x:c r="C21" s="13">
        <x:f>QF.DATE.ADVANCE(ValDate,B21,Cal)</x:f>
      </x:c>
      <x:c r="D21" s="14">
        <x:f>QF.YEARFRAC(ValDate,C21,DayCount)</x:f>
      </x:c>
      <x:c r="E21" s="15">
        <x:f>QF.CURVE.DF(CurveHandle,C21)</x:f>
      </x:c>
      <x:c r="F21" s="16">
        <x:f>QF.CURVE.ZERO(CurveHandle,C21)</x:f>
      </x:c>
      <x:c r="G21" s="16">
        <x:f>QF.CURVE.ZERO(CurveHandle,C21,"Annual")</x:f>
      </x:c>
      <x:c r="H21" s="16">
        <x:f>LN(E20/E21)/(D21-D20)</x:f>
      </x:c>
      <x:c r="I21" s="15">
        <x:f>QF.CURVE.DF(FlatHandle,C21)</x:f>
      </x:c>
      <x:c r="J21" s="16">
        <x:f>QF.CURVE.ZERO(FlatHandle,C21)</x:f>
      </x:c>
      <x:c r="K21" s="17">
        <x:f>(F21-J21)*10000</x:f>
      </x:c>
    </x:row>
    <x:row r="22" spans="1:11">
      <x:c r="B22" s="5" t="s">
        <x:v>31</x:v>
      </x:c>
      <x:c r="C22" s="13">
        <x:f>QF.DATE.ADVANCE(ValDate,B22,Cal)</x:f>
      </x:c>
      <x:c r="D22" s="14">
        <x:f>QF.YEARFRAC(ValDate,C22,DayCount)</x:f>
      </x:c>
      <x:c r="E22" s="15">
        <x:f>QF.CURVE.DF(CurveHandle,C22)</x:f>
      </x:c>
      <x:c r="F22" s="16">
        <x:f>QF.CURVE.ZERO(CurveHandle,C22)</x:f>
      </x:c>
      <x:c r="G22" s="16">
        <x:f>QF.CURVE.ZERO(CurveHandle,C22,"Annual")</x:f>
      </x:c>
      <x:c r="H22" s="16">
        <x:f>LN(E21/E22)/(D22-D21)</x:f>
      </x:c>
      <x:c r="I22" s="15">
        <x:f>QF.CURVE.DF(FlatHandle,C22)</x:f>
      </x:c>
      <x:c r="J22" s="16">
        <x:f>QF.CURVE.ZERO(FlatHandle,C22)</x:f>
      </x:c>
      <x:c r="K22" s="17">
        <x:f>(F22-J22)*10000</x:f>
      </x:c>
    </x:row>
    <x:row r="23" spans="1:11">
      <x:c r="B23" s="5" t="s">
        <x:v>32</x:v>
      </x:c>
      <x:c r="C23" s="13">
        <x:f>QF.DATE.ADVANCE(ValDate,B23,Cal)</x:f>
      </x:c>
      <x:c r="D23" s="14">
        <x:f>QF.YEARFRAC(ValDate,C23,DayCount)</x:f>
      </x:c>
      <x:c r="E23" s="15">
        <x:f>QF.CURVE.DF(CurveHandle,C23)</x:f>
      </x:c>
      <x:c r="F23" s="16">
        <x:f>QF.CURVE.ZERO(CurveHandle,C23)</x:f>
      </x:c>
      <x:c r="G23" s="16">
        <x:f>QF.CURVE.ZERO(CurveHandle,C23,"Annual")</x:f>
      </x:c>
      <x:c r="H23" s="16">
        <x:f>LN(E22/E23)/(D23-D22)</x:f>
      </x:c>
      <x:c r="I23" s="15">
        <x:f>QF.CURVE.DF(FlatHandle,C23)</x:f>
      </x:c>
      <x:c r="J23" s="16">
        <x:f>QF.CURVE.ZERO(FlatHandle,C23)</x:f>
      </x:c>
      <x:c r="K23" s="17">
        <x:f>(F23-J23)*10000</x:f>
      </x:c>
    </x:row>
    <x:row r="24" spans="1:11">
      <x:c r="B24" s="5" t="s">
        <x:v>69</x:v>
      </x:c>
      <x:c r="C24" s="13">
        <x:f>QF.DATE.ADVANCE(ValDate,B24,Cal)</x:f>
      </x:c>
      <x:c r="D24" s="14">
        <x:f>QF.YEARFRAC(ValDate,C24,DayCount)</x:f>
      </x:c>
      <x:c r="E24" s="15">
        <x:f>QF.CURVE.DF(CurveHandle,C24)</x:f>
      </x:c>
      <x:c r="F24" s="16">
        <x:f>QF.CURVE.ZERO(CurveHandle,C24)</x:f>
      </x:c>
      <x:c r="G24" s="16">
        <x:f>QF.CURVE.ZERO(CurveHandle,C24,"Annual")</x:f>
      </x:c>
      <x:c r="H24" s="16">
        <x:f>LN(E23/E24)/(D24-D23)</x:f>
      </x:c>
      <x:c r="I24" s="15">
        <x:f>QF.CURVE.DF(FlatHandle,C24)</x:f>
      </x:c>
      <x:c r="J24" s="16">
        <x:f>QF.CURVE.ZERO(FlatHandle,C24)</x:f>
      </x:c>
      <x:c r="K24" s="17">
        <x:f>(F24-J24)*10000</x:f>
      </x:c>
    </x:row>
    <x:row r="25" spans="1:11">
      <x:c r="B25" s="5" t="s">
        <x:v>33</x:v>
      </x:c>
      <x:c r="C25" s="13">
        <x:f>QF.DATE.ADVANCE(ValDate,B25,Cal)</x:f>
      </x:c>
      <x:c r="D25" s="14">
        <x:f>QF.YEARFRAC(ValDate,C25,DayCount)</x:f>
      </x:c>
      <x:c r="E25" s="15">
        <x:f>QF.CURVE.DF(CurveHandle,C25)</x:f>
      </x:c>
      <x:c r="F25" s="16">
        <x:f>QF.CURVE.ZERO(CurveHandle,C25)</x:f>
      </x:c>
      <x:c r="G25" s="16">
        <x:f>QF.CURVE.ZERO(CurveHandle,C25,"Annual")</x:f>
      </x:c>
      <x:c r="H25" s="16">
        <x:f>LN(E24/E25)/(D25-D24)</x:f>
      </x:c>
      <x:c r="I25" s="15">
        <x:f>QF.CURVE.DF(FlatHandle,C25)</x:f>
      </x:c>
      <x:c r="J25" s="16">
        <x:f>QF.CURVE.ZERO(FlatHandle,C25)</x:f>
      </x:c>
      <x:c r="K25" s="17">
        <x:f>(F25-J25)*10000</x:f>
      </x:c>
    </x:row>
    <x:row r="26" spans="1:11">
      <x:c r="B26" s="5" t="s">
        <x:v>70</x:v>
      </x:c>
      <x:c r="C26" s="13">
        <x:f>QF.DATE.ADVANCE(ValDate,B26,Cal)</x:f>
      </x:c>
      <x:c r="D26" s="14">
        <x:f>QF.YEARFRAC(ValDate,C26,DayCount)</x:f>
      </x:c>
      <x:c r="E26" s="15">
        <x:f>QF.CURVE.DF(CurveHandle,C26)</x:f>
      </x:c>
      <x:c r="F26" s="16">
        <x:f>QF.CURVE.ZERO(CurveHandle,C26)</x:f>
      </x:c>
      <x:c r="G26" s="16">
        <x:f>QF.CURVE.ZERO(CurveHandle,C26,"Annual")</x:f>
      </x:c>
      <x:c r="H26" s="16">
        <x:f>LN(E25/E26)/(D26-D25)</x:f>
      </x:c>
      <x:c r="I26" s="15">
        <x:f>QF.CURVE.DF(FlatHandle,C26)</x:f>
      </x:c>
      <x:c r="J26" s="16">
        <x:f>QF.CURVE.ZERO(FlatHandle,C26)</x:f>
      </x:c>
      <x:c r="K26" s="17">
        <x:f>(F26-J26)*10000</x:f>
      </x:c>
    </x:row>
    <x:row r="27" spans="1:11">
      <x:c r="B27" s="5" t="s">
        <x:v>34</x:v>
      </x:c>
      <x:c r="C27" s="13">
        <x:f>QF.DATE.ADVANCE(ValDate,B27,Cal)</x:f>
      </x:c>
      <x:c r="D27" s="14">
        <x:f>QF.YEARFRAC(ValDate,C27,DayCount)</x:f>
      </x:c>
      <x:c r="E27" s="15">
        <x:f>QF.CURVE.DF(CurveHandle,C27)</x:f>
      </x:c>
      <x:c r="F27" s="16">
        <x:f>QF.CURVE.ZERO(CurveHandle,C27)</x:f>
      </x:c>
      <x:c r="G27" s="16">
        <x:f>QF.CURVE.ZERO(CurveHandle,C27,"Annual")</x:f>
      </x:c>
      <x:c r="H27" s="16">
        <x:f>LN(E26/E27)/(D27-D26)</x:f>
      </x:c>
      <x:c r="I27" s="15">
        <x:f>QF.CURVE.DF(FlatHandle,C27)</x:f>
      </x:c>
      <x:c r="J27" s="16">
        <x:f>QF.CURVE.ZERO(FlatHandle,C27)</x:f>
      </x:c>
      <x:c r="K27" s="17">
        <x:f>(F27-J27)*10000</x:f>
      </x:c>
    </x:row>
    <x:row r="28" spans="1:11">
      <x:c r="B28" s="5" t="s">
        <x:v>71</x:v>
      </x:c>
      <x:c r="C28" s="13">
        <x:f>QF.DATE.ADVANCE(ValDate,B28,Cal)</x:f>
      </x:c>
      <x:c r="D28" s="14">
        <x:f>QF.YEARFRAC(ValDate,C28,DayCount)</x:f>
      </x:c>
      <x:c r="E28" s="15">
        <x:f>QF.CURVE.DF(CurveHandle,C28)</x:f>
      </x:c>
      <x:c r="F28" s="16">
        <x:f>QF.CURVE.ZERO(CurveHandle,C28)</x:f>
      </x:c>
      <x:c r="G28" s="16">
        <x:f>QF.CURVE.ZERO(CurveHandle,C28,"Annual")</x:f>
      </x:c>
      <x:c r="H28" s="16">
        <x:f>LN(E27/E28)/(D28-D27)</x:f>
      </x:c>
      <x:c r="I28" s="15">
        <x:f>QF.CURVE.DF(FlatHandle,C28)</x:f>
      </x:c>
      <x:c r="J28" s="16">
        <x:f>QF.CURVE.ZERO(FlatHandle,C28)</x:f>
      </x:c>
      <x:c r="K28" s="17">
        <x:f>(F28-J28)*10000</x:f>
      </x:c>
    </x:row>
    <x:row r="29" spans="1:11">
      <x:c r="B29" s="5" t="s">
        <x:v>72</x:v>
      </x:c>
      <x:c r="C29" s="13">
        <x:f>QF.DATE.ADVANCE(ValDate,B29,Cal)</x:f>
      </x:c>
      <x:c r="D29" s="14">
        <x:f>QF.YEARFRAC(ValDate,C29,DayCount)</x:f>
      </x:c>
      <x:c r="E29" s="15">
        <x:f>QF.CURVE.DF(CurveHandle,C29)</x:f>
      </x:c>
      <x:c r="F29" s="16">
        <x:f>QF.CURVE.ZERO(CurveHandle,C29)</x:f>
      </x:c>
      <x:c r="G29" s="16">
        <x:f>QF.CURVE.ZERO(CurveHandle,C29,"Annual")</x:f>
      </x:c>
      <x:c r="H29" s="16">
        <x:f>LN(E28/E29)/(D29-D28)</x:f>
      </x:c>
      <x:c r="I29" s="15">
        <x:f>QF.CURVE.DF(FlatHandle,C29)</x:f>
      </x:c>
      <x:c r="J29" s="16">
        <x:f>QF.CURVE.ZERO(FlatHandle,C29)</x:f>
      </x:c>
      <x:c r="K29" s="17">
        <x:f>(F29-J29)*10000</x:f>
      </x:c>
    </x:row>
    <x:row r="30" spans="1:11">
      <x:c r="B30" s="5" t="s">
        <x:v>35</x:v>
      </x:c>
      <x:c r="C30" s="13">
        <x:f>QF.DATE.ADVANCE(ValDate,B30,Cal)</x:f>
      </x:c>
      <x:c r="D30" s="14">
        <x:f>QF.YEARFRAC(ValDate,C30,DayCount)</x:f>
      </x:c>
      <x:c r="E30" s="15">
        <x:f>QF.CURVE.DF(CurveHandle,C30)</x:f>
      </x:c>
      <x:c r="F30" s="16">
        <x:f>QF.CURVE.ZERO(CurveHandle,C30)</x:f>
      </x:c>
      <x:c r="G30" s="16">
        <x:f>QF.CURVE.ZERO(CurveHandle,C30,"Annual")</x:f>
      </x:c>
      <x:c r="H30" s="16">
        <x:f>LN(E29/E30)/(D30-D29)</x:f>
      </x:c>
      <x:c r="I30" s="15">
        <x:f>QF.CURVE.DF(FlatHandle,C30)</x:f>
      </x:c>
      <x:c r="J30" s="16">
        <x:f>QF.CURVE.ZERO(FlatHandle,C30)</x:f>
      </x:c>
      <x:c r="K30" s="17">
        <x:f>(F30-J30)*10000</x:f>
      </x:c>
    </x:row>
    <x:row r="31" spans="1:11">
      <x:c r="B31" s="5" t="s">
        <x:v>73</x:v>
      </x:c>
      <x:c r="C31" s="13">
        <x:f>QF.DATE.ADVANCE(ValDate,B31,Cal)</x:f>
      </x:c>
      <x:c r="D31" s="14">
        <x:f>QF.YEARFRAC(ValDate,C31,DayCount)</x:f>
      </x:c>
      <x:c r="E31" s="15">
        <x:f>QF.CURVE.DF(CurveHandle,C31)</x:f>
      </x:c>
      <x:c r="F31" s="16">
        <x:f>QF.CURVE.ZERO(CurveHandle,C31)</x:f>
      </x:c>
      <x:c r="G31" s="16">
        <x:f>QF.CURVE.ZERO(CurveHandle,C31,"Annual")</x:f>
      </x:c>
      <x:c r="H31" s="16">
        <x:f>LN(E30/E31)/(D31-D30)</x:f>
      </x:c>
      <x:c r="I31" s="15">
        <x:f>QF.CURVE.DF(FlatHandle,C31)</x:f>
      </x:c>
      <x:c r="J31" s="16">
        <x:f>QF.CURVE.ZERO(FlatHandle,C31)</x:f>
      </x:c>
      <x:c r="K31" s="17">
        <x:f>(F31-J31)*10000</x:f>
      </x:c>
    </x:row>
    <x:row r="32" spans="1:11">
      <x:c r="B32" s="5" t="s">
        <x:v>36</x:v>
      </x:c>
      <x:c r="C32" s="13">
        <x:f>QF.DATE.ADVANCE(ValDate,B32,Cal)</x:f>
      </x:c>
      <x:c r="D32" s="14">
        <x:f>QF.YEARFRAC(ValDate,C32,DayCount)</x:f>
      </x:c>
      <x:c r="E32" s="15">
        <x:f>QF.CURVE.DF(CurveHandle,C32)</x:f>
      </x:c>
      <x:c r="F32" s="16">
        <x:f>QF.CURVE.ZERO(CurveHandle,C32)</x:f>
      </x:c>
      <x:c r="G32" s="16">
        <x:f>QF.CURVE.ZERO(CurveHandle,C32,"Annual")</x:f>
      </x:c>
      <x:c r="H32" s="16">
        <x:f>LN(E31/E32)/(D32-D31)</x:f>
      </x:c>
      <x:c r="I32" s="15">
        <x:f>QF.CURVE.DF(FlatHandle,C32)</x:f>
      </x:c>
      <x:c r="J32" s="16">
        <x:f>QF.CURVE.ZERO(FlatHandle,C32)</x:f>
      </x:c>
      <x:c r="K32" s="17">
        <x:f>(F32-J32)*10000</x:f>
      </x:c>
    </x:row>
    <x:row r="33" spans="1:11">
      <x:c r="B33" s="5" t="s">
        <x:v>37</x:v>
      </x:c>
      <x:c r="C33" s="13">
        <x:f>QF.DATE.ADVANCE(ValDate,B33,Cal)</x:f>
      </x:c>
      <x:c r="D33" s="14">
        <x:f>QF.YEARFRAC(ValDate,C33,DayCount)</x:f>
      </x:c>
      <x:c r="E33" s="15">
        <x:f>QF.CURVE.DF(CurveHandle,C33)</x:f>
      </x:c>
      <x:c r="F33" s="16">
        <x:f>QF.CURVE.ZERO(CurveHandle,C33)</x:f>
      </x:c>
      <x:c r="G33" s="16">
        <x:f>QF.CURVE.ZERO(CurveHandle,C33,"Annual")</x:f>
      </x:c>
      <x:c r="H33" s="16">
        <x:f>LN(E32/E33)/(D33-D32)</x:f>
      </x:c>
      <x:c r="I33" s="15">
        <x:f>QF.CURVE.DF(FlatHandle,C33)</x:f>
      </x:c>
      <x:c r="J33" s="16">
        <x:f>QF.CURVE.ZERO(FlatHandle,C33)</x:f>
      </x:c>
      <x:c r="K33" s="17">
        <x:f>(F33-J33)*10000</x:f>
      </x:c>
    </x:row>
    <x:row r="34" spans="1:11">
      <x:c r="B34" s="5" t="s">
        <x:v>74</x:v>
      </x:c>
      <x:c r="C34" s="13">
        <x:f>QF.DATE.ADVANCE(ValDate,B34,Cal)</x:f>
      </x:c>
      <x:c r="D34" s="14">
        <x:f>QF.YEARFRAC(ValDate,C34,DayCount)</x:f>
      </x:c>
      <x:c r="E34" s="15">
        <x:f>QF.CURVE.DF(CurveHandle,C34)</x:f>
      </x:c>
      <x:c r="F34" s="16">
        <x:f>QF.CURVE.ZERO(CurveHandle,C34)</x:f>
      </x:c>
      <x:c r="G34" s="16">
        <x:f>QF.CURVE.ZERO(CurveHandle,C34,"Annual")</x:f>
      </x:c>
      <x:c r="H34" s="16">
        <x:f>LN(E33/E34)/(D34-D33)</x:f>
      </x:c>
      <x:c r="I34" s="15">
        <x:f>QF.CURVE.DF(FlatHandle,C34)</x:f>
      </x:c>
      <x:c r="J34" s="16">
        <x:f>QF.CURVE.ZERO(FlatHandle,C34)</x:f>
      </x:c>
      <x:c r="K34" s="17">
        <x:f>(F34-J34)*10000</x:f>
      </x:c>
    </x:row>
    <x:row r="35" spans="1:11">
      <x:c r="B35" s="5" t="s">
        <x:v>38</x:v>
      </x:c>
      <x:c r="C35" s="13">
        <x:f>QF.DATE.ADVANCE(ValDate,B35,Cal)</x:f>
      </x:c>
      <x:c r="D35" s="14">
        <x:f>QF.YEARFRAC(ValDate,C35,DayCount)</x:f>
      </x:c>
      <x:c r="E35" s="15">
        <x:f>QF.CURVE.DF(CurveHandle,C35)</x:f>
      </x:c>
      <x:c r="F35" s="16">
        <x:f>QF.CURVE.ZERO(CurveHandle,C35)</x:f>
      </x:c>
      <x:c r="G35" s="16">
        <x:f>QF.CURVE.ZERO(CurveHandle,C35,"Annual")</x:f>
      </x:c>
      <x:c r="H35" s="16">
        <x:f>LN(E34/E35)/(D35-D34)</x:f>
      </x:c>
      <x:c r="I35" s="15">
        <x:f>QF.CURVE.DF(FlatHandle,C35)</x:f>
      </x:c>
      <x:c r="J35" s="16">
        <x:f>QF.CURVE.ZERO(FlatHandle,C35)</x:f>
      </x:c>
      <x:c r="K35" s="17">
        <x:f>(F35-J35)*10000</x:f>
      </x:c>
    </x:row>
    <x:row r="37" spans="1:11">
      <x:c r="B37" s="7" t="s">
        <x:v>75</x:v>
      </x:c>
    </x:row>
    <x:row r="38" spans="1:11">
      <x:c r="B38" s="7" t="s">
        <x:v>76</x:v>
      </x:c>
    </x:row>
  </x:sheetData>
  <x:dataValidations count="2">
    <x:dataValidation type="list" errorStyle="stop" operator="between" allowBlank="1" showDropDown="0" showInputMessage="1" showErrorMessage="1" errorTitle="" error="" promptTitle="" prompt="" sqref="C6:C6">
      <x:formula1>"TARGET,NYSE,LONDON,WEEKENDS,TARGET+NYSE"</x:formula1>
      <x:formula2/>
    </x:dataValidation>
    <x:dataValidation type="list" errorStyle="stop" operator="between" allowBlank="1" showDropDown="0" showInputMessage="1" showErrorMessage="1" errorTitle="" error="" promptTitle="" prompt="" sqref="C7:C7">
      <x:formula1>"LogLinearDiscount,LinearZero,MonotoneCubicZero"</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r:id="rId1"/>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9">
      <vt:lpstr>About</vt:lpstr>
      <vt:lpstr>Quotes</vt:lpstr>
      <vt:lpstr>Curve</vt:lpstr>
      <vt:lpstr>About!Print_Area</vt:lpstr>
      <vt:lpstr>About!Print_Titles</vt:lpstr>
      <vt:lpstr>Quotes!Print_Area</vt:lpstr>
      <vt:lpstr>Quotes!Print_Titles</vt:lpstr>
      <vt:lpstr>Curve!Print_Area</vt:lpstr>
      <vt:lpstr>Curve!Print_Titles</vt:lpstr>
      <vt:lpstr>InstTypes</vt:lpstr>
      <vt:lpstr>InstTenors</vt:lpstr>
      <vt:lpstr>InstQuotes</vt:lpstr>
      <vt:lpstr>ValDate</vt:lpstr>
      <vt:lpstr>Cal</vt:lpstr>
      <vt:lpstr>Interp</vt:lpstr>
      <vt:lpstr>FlatRate</vt:lpstr>
      <vt:lpstr>DayCount</vt:lpstr>
      <vt:lpstr>CurveHandle</vt:lpstr>
      <vt:lpstr>FlatHandle</vt:lpstr>
    </vt:vector>
  </ap:TitlesOfParts>
  <ap:HeadingPairs>
    <vt:vector baseType="variant" size="4">
      <vt:variant>
        <vt:lpstr>Worksheets</vt:lpstr>
      </vt:variant>
      <vt:variant>
        <vt:i4>3</vt:i4>
      </vt:variant>
      <vt:variant>
        <vt:lpstr>Named Ranges</vt:lpstr>
      </vt:variant>
      <vt:variant>
        <vt:i4>16</vt:i4>
      </vt:variant>
    </vt:vector>
  </ap:HeadingPairs>
  <ap:DocSecurity>0</ap:DocSecurity>
  <ap:ScaleCrop>false</ap:ScaleCrop>
</ap:Properties>
</file>