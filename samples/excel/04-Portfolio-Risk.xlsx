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officeDocument/2006/relationships/extended-properties" Target="/docProps/app.xml" Id="rId2" /><Relationship Type="http://schemas.openxmlformats.org/package/2006/relationships/metadata/core-properties" Target="/package/services/metadata/core-properties/core.psmdcp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out" sheetId="1" r:id="rId2"/>
    <x:sheet name="Returns" sheetId="2" r:id="rId3"/>
    <x:sheet name="Portfolio" sheetId="3" r:id="rId4"/>
    <x:sheet name="Covariance" sheetId="4" r:id="rId5"/>
  </x:sheets>
  <x:definedNames>
    <x:definedName name="ReturnsData">'Returns'!$C$2:$G$251</x:definedName>
    <x:definedName name="ReturnsHeader">'Returns'!$C$1:$G$251</x:definedName>
    <x:definedName name="PnL">'Returns'!$H$2:$H$251</x:definedName>
    <x:definedName name="Alpha">'Portfolio'!$C$4</x:definedName>
    <x:definedName name="Horizon">'Portfolio'!$C$5</x:definedName>
    <x:definedName name="Lambda">'Portfolio'!$C$6</x:definedName>
    <x:definedName name="PeriodsPerYear">'Portfolio'!$C$7</x:definedName>
    <x:definedName name="Exposures">'Portfolio'!$C$10:$C$14</x:definedName>
  </x:definedNames>
  <x:calcPr calcId="125725" fullCalcOnLoad="1"/>
</x:workbook>
</file>

<file path=xl/calcChain.xml><?xml version="1.0" encoding="utf-8"?>
<x:calcChain xmlns:x="http://schemas.openxmlformats.org/spreadsheetml/2006/main">
  <x:c r="B25" i="1"/>
  <x:c r="B26" i="1"/>
  <x:c r="H2" i="2"/>
  <x:c r="H3" i="2"/>
  <x:c r="H4" i="2"/>
  <x:c r="H5" i="2"/>
  <x:c r="H6" i="2"/>
  <x:c r="H7" i="2"/>
  <x:c r="H8" i="2"/>
  <x:c r="H9" i="2"/>
  <x:c r="H10" i="2"/>
  <x:c r="H11" i="2"/>
  <x:c r="H12" i="2"/>
  <x:c r="H13" i="2"/>
  <x:c r="H14" i="2"/>
  <x:c r="H15" i="2"/>
  <x:c r="H16" i="2"/>
  <x:c r="H17" i="2"/>
  <x:c r="H18" i="2"/>
  <x:c r="H19" i="2"/>
  <x:c r="H20" i="2"/>
  <x:c r="H21" i="2"/>
  <x:c r="H22" i="2"/>
  <x:c r="H23" i="2"/>
  <x:c r="H24" i="2"/>
  <x:c r="H25" i="2"/>
  <x:c r="H26" i="2"/>
  <x:c r="H27" i="2"/>
  <x:c r="H28" i="2"/>
  <x:c r="H29" i="2"/>
  <x:c r="H30" i="2"/>
  <x:c r="H31" i="2"/>
  <x:c r="H32" i="2"/>
  <x:c r="H33" i="2"/>
  <x:c r="H34" i="2"/>
  <x:c r="H35" i="2"/>
  <x:c r="H36" i="2"/>
  <x:c r="H37" i="2"/>
  <x:c r="H38" i="2"/>
  <x:c r="H39" i="2"/>
  <x:c r="H40" i="2"/>
  <x:c r="H41" i="2"/>
  <x:c r="H42" i="2"/>
  <x:c r="H43" i="2"/>
  <x:c r="H44" i="2"/>
  <x:c r="H45" i="2"/>
  <x:c r="H46" i="2"/>
  <x:c r="H47" i="2"/>
  <x:c r="H48" i="2"/>
  <x:c r="H49" i="2"/>
  <x:c r="H50" i="2"/>
  <x:c r="H51" i="2"/>
  <x:c r="H52" i="2"/>
  <x:c r="H53" i="2"/>
  <x:c r="H54" i="2"/>
  <x:c r="H55" i="2"/>
  <x:c r="H56" i="2"/>
  <x:c r="H57" i="2"/>
  <x:c r="H58" i="2"/>
  <x:c r="H59" i="2"/>
  <x:c r="H60" i="2"/>
  <x:c r="H61" i="2"/>
  <x:c r="H62" i="2"/>
  <x:c r="H63" i="2"/>
  <x:c r="H64" i="2"/>
  <x:c r="H65" i="2"/>
  <x:c r="H66" i="2"/>
  <x:c r="H67" i="2"/>
  <x:c r="H68" i="2"/>
  <x:c r="H69" i="2"/>
  <x:c r="H70" i="2"/>
  <x:c r="H71" i="2"/>
  <x:c r="H72" i="2"/>
  <x:c r="H73" i="2"/>
  <x:c r="H74" i="2"/>
  <x:c r="H75" i="2"/>
  <x:c r="H76" i="2"/>
  <x:c r="H77" i="2"/>
  <x:c r="H78" i="2"/>
  <x:c r="H79" i="2"/>
  <x:c r="H80" i="2"/>
  <x:c r="H81" i="2"/>
  <x:c r="H82" i="2"/>
  <x:c r="H83" i="2"/>
  <x:c r="H84" i="2"/>
  <x:c r="H85" i="2"/>
  <x:c r="H86" i="2"/>
  <x:c r="H87" i="2"/>
  <x:c r="H88" i="2"/>
  <x:c r="H89" i="2"/>
  <x:c r="H90" i="2"/>
  <x:c r="H91" i="2"/>
  <x:c r="H92" i="2"/>
  <x:c r="H93" i="2"/>
  <x:c r="H94" i="2"/>
  <x:c r="H95" i="2"/>
  <x:c r="H96" i="2"/>
  <x:c r="H97" i="2"/>
  <x:c r="H98" i="2"/>
  <x:c r="H99" i="2"/>
  <x:c r="H100" i="2"/>
  <x:c r="H101" i="2"/>
  <x:c r="H102" i="2"/>
  <x:c r="H103" i="2"/>
  <x:c r="H104" i="2"/>
  <x:c r="H105" i="2"/>
  <x:c r="H106" i="2"/>
  <x:c r="H107" i="2"/>
  <x:c r="H108" i="2"/>
  <x:c r="H109" i="2"/>
  <x:c r="H110" i="2"/>
  <x:c r="H111" i="2"/>
  <x:c r="H112" i="2"/>
  <x:c r="H113" i="2"/>
  <x:c r="H114" i="2"/>
  <x:c r="H115" i="2"/>
  <x:c r="H116" i="2"/>
  <x:c r="H117" i="2"/>
  <x:c r="H118" i="2"/>
  <x:c r="H119" i="2"/>
  <x:c r="H120" i="2"/>
  <x:c r="H121" i="2"/>
  <x:c r="H122" i="2"/>
  <x:c r="H123" i="2"/>
  <x:c r="H124" i="2"/>
  <x:c r="H125" i="2"/>
  <x:c r="H126" i="2"/>
  <x:c r="H127" i="2"/>
  <x:c r="H128" i="2"/>
  <x:c r="H129" i="2"/>
  <x:c r="H130" i="2"/>
  <x:c r="H131" i="2"/>
  <x:c r="H132" i="2"/>
  <x:c r="H133" i="2"/>
  <x:c r="H134" i="2"/>
  <x:c r="H135" i="2"/>
  <x:c r="H136" i="2"/>
  <x:c r="H137" i="2"/>
  <x:c r="H138" i="2"/>
  <x:c r="H139" i="2"/>
  <x:c r="H140" i="2"/>
  <x:c r="H141" i="2"/>
  <x:c r="H142" i="2"/>
  <x:c r="H143" i="2"/>
  <x:c r="H144" i="2"/>
  <x:c r="H145" i="2"/>
  <x:c r="H146" i="2"/>
  <x:c r="H147" i="2"/>
  <x:c r="H148" i="2"/>
  <x:c r="H149" i="2"/>
  <x:c r="H150" i="2"/>
  <x:c r="H151" i="2"/>
  <x:c r="H152" i="2"/>
  <x:c r="H153" i="2"/>
  <x:c r="H154" i="2"/>
  <x:c r="H155" i="2"/>
  <x:c r="H156" i="2"/>
  <x:c r="H157" i="2"/>
  <x:c r="H158" i="2"/>
  <x:c r="H159" i="2"/>
  <x:c r="H160" i="2"/>
  <x:c r="H161" i="2"/>
  <x:c r="H162" i="2"/>
  <x:c r="H163" i="2"/>
  <x:c r="H164" i="2"/>
  <x:c r="H165" i="2"/>
  <x:c r="H166" i="2"/>
  <x:c r="H167" i="2"/>
  <x:c r="H168" i="2"/>
  <x:c r="H169" i="2"/>
  <x:c r="H170" i="2"/>
  <x:c r="H171" i="2"/>
  <x:c r="H172" i="2"/>
  <x:c r="H173" i="2"/>
  <x:c r="H174" i="2"/>
  <x:c r="H175" i="2"/>
  <x:c r="H176" i="2"/>
  <x:c r="H177" i="2"/>
  <x:c r="H178" i="2"/>
  <x:c r="H179" i="2"/>
  <x:c r="H180" i="2"/>
  <x:c r="H181" i="2"/>
  <x:c r="H182" i="2"/>
  <x:c r="H183" i="2"/>
  <x:c r="H184" i="2"/>
  <x:c r="H185" i="2"/>
  <x:c r="H186" i="2"/>
  <x:c r="H187" i="2"/>
  <x:c r="H188" i="2"/>
  <x:c r="H189" i="2"/>
  <x:c r="H190" i="2"/>
  <x:c r="H191" i="2"/>
  <x:c r="H192" i="2"/>
  <x:c r="H193" i="2"/>
  <x:c r="H194" i="2"/>
  <x:c r="H195" i="2"/>
  <x:c r="H196" i="2"/>
  <x:c r="H197" i="2"/>
  <x:c r="H198" i="2"/>
  <x:c r="H199" i="2"/>
  <x:c r="H200" i="2"/>
  <x:c r="H201" i="2"/>
  <x:c r="H202" i="2"/>
  <x:c r="H203" i="2"/>
  <x:c r="H204" i="2"/>
  <x:c r="H205" i="2"/>
  <x:c r="H206" i="2"/>
  <x:c r="H207" i="2"/>
  <x:c r="H208" i="2"/>
  <x:c r="H209" i="2"/>
  <x:c r="H210" i="2"/>
  <x:c r="H211" i="2"/>
  <x:c r="H212" i="2"/>
  <x:c r="H213" i="2"/>
  <x:c r="H214" i="2"/>
  <x:c r="H215" i="2"/>
  <x:c r="H216" i="2"/>
  <x:c r="H217" i="2"/>
  <x:c r="H218" i="2"/>
  <x:c r="H219" i="2"/>
  <x:c r="H220" i="2"/>
  <x:c r="H221" i="2"/>
  <x:c r="H222" i="2"/>
  <x:c r="H223" i="2"/>
  <x:c r="H224" i="2"/>
  <x:c r="H225" i="2"/>
  <x:c r="H226" i="2"/>
  <x:c r="H227" i="2"/>
  <x:c r="H228" i="2"/>
  <x:c r="H229" i="2"/>
  <x:c r="H230" i="2"/>
  <x:c r="H231" i="2"/>
  <x:c r="H232" i="2"/>
  <x:c r="H233" i="2"/>
  <x:c r="H234" i="2"/>
  <x:c r="H235" i="2"/>
  <x:c r="H236" i="2"/>
  <x:c r="H237" i="2"/>
  <x:c r="H238" i="2"/>
  <x:c r="H239" i="2"/>
  <x:c r="H240" i="2"/>
  <x:c r="H241" i="2"/>
  <x:c r="H242" i="2"/>
  <x:c r="H243" i="2"/>
  <x:c r="H244" i="2"/>
  <x:c r="H245" i="2"/>
  <x:c r="H246" i="2"/>
  <x:c r="H247" i="2"/>
  <x:c r="H248" i="2"/>
  <x:c r="H249" i="2"/>
  <x:c r="H250" i="2"/>
  <x:c r="H251" i="2"/>
  <x:c r="B10" i="3"/>
  <x:c r="B11" i="3"/>
  <x:c r="B12" i="3"/>
  <x:c r="B13" i="3"/>
  <x:c r="B14" i="3"/>
  <x:c r="C15" i="3"/>
  <x:c r="C16" i="3"/>
  <x:c r="C19" i="3"/>
  <x:c r="D19" i="3"/>
  <x:c r="E19" i="3"/>
  <x:c r="F19" i="3"/>
  <x:c r="C20" i="3"/>
  <x:c r="D20" i="3"/>
  <x:c r="E20" i="3"/>
  <x:c r="F20" i="3"/>
  <x:c r="C21" i="3"/>
  <x:c r="D21" i="3"/>
  <x:c r="E21" i="3"/>
  <x:c r="F21" i="3"/>
  <x:c r="C25" i="3"/>
  <x:c r="C26" i="3"/>
  <x:c r="C27" i="3"/>
  <x:c r="C28" i="3"/>
  <x:c r="C29" i="3"/>
  <x:c r="B32" i="3" a="1"/>
  <x:c r="B32" i="3"/>
  <x:c r="C32" i="3"/>
  <x:c r="D32" i="3"/>
  <x:c r="E32" i="3"/>
  <x:c r="F32" i="3"/>
  <x:c r="G32" i="3"/>
  <x:c r="H32" i="3"/>
  <x:c r="B33" i="3"/>
  <x:c r="C33" i="3"/>
  <x:c r="D33" i="3"/>
  <x:c r="E33" i="3"/>
  <x:c r="F33" i="3"/>
  <x:c r="G33" i="3"/>
  <x:c r="H33" i="3"/>
  <x:c r="B34" i="3"/>
  <x:c r="C34" i="3"/>
  <x:c r="D34" i="3"/>
  <x:c r="E34" i="3"/>
  <x:c r="F34" i="3"/>
  <x:c r="G34" i="3"/>
  <x:c r="H34" i="3"/>
  <x:c r="B35" i="3"/>
  <x:c r="C35" i="3"/>
  <x:c r="D35" i="3"/>
  <x:c r="E35" i="3"/>
  <x:c r="F35" i="3"/>
  <x:c r="G35" i="3"/>
  <x:c r="H35" i="3"/>
  <x:c r="B36" i="3"/>
  <x:c r="C36" i="3"/>
  <x:c r="D36" i="3"/>
  <x:c r="E36" i="3"/>
  <x:c r="F36" i="3"/>
  <x:c r="G36" i="3"/>
  <x:c r="H36" i="3"/>
  <x:c r="B37" i="3"/>
  <x:c r="C37" i="3"/>
  <x:c r="D37" i="3"/>
  <x:c r="E37" i="3"/>
  <x:c r="F37" i="3"/>
  <x:c r="G37" i="3"/>
  <x:c r="H37" i="3"/>
  <x:c r="B38" i="3"/>
  <x:c r="C38" i="3"/>
  <x:c r="D38" i="3"/>
  <x:c r="E38" i="3"/>
  <x:c r="F38" i="3"/>
  <x:c r="G38" i="3"/>
  <x:c r="H38" i="3"/>
  <x:c r="C39" i="3"/>
  <x:c r="B42" i="3" a="1"/>
  <x:c r="B42" i="3"/>
  <x:c r="C42" i="3"/>
  <x:c r="D42" i="3"/>
  <x:c r="E42" i="3"/>
  <x:c r="F42" i="3"/>
  <x:c r="G42" i="3"/>
  <x:c r="H42" i="3"/>
  <x:c r="B43" i="3"/>
  <x:c r="C43" i="3"/>
  <x:c r="D43" i="3"/>
  <x:c r="E43" i="3"/>
  <x:c r="F43" i="3"/>
  <x:c r="G43" i="3"/>
  <x:c r="H43" i="3"/>
  <x:c r="B44" i="3"/>
  <x:c r="C44" i="3"/>
  <x:c r="D44" i="3"/>
  <x:c r="E44" i="3"/>
  <x:c r="F44" i="3"/>
  <x:c r="G44" i="3"/>
  <x:c r="H44" i="3"/>
  <x:c r="B45" i="3"/>
  <x:c r="C45" i="3"/>
  <x:c r="D45" i="3"/>
  <x:c r="E45" i="3"/>
  <x:c r="F45" i="3"/>
  <x:c r="G45" i="3"/>
  <x:c r="H45" i="3"/>
  <x:c r="B46" i="3"/>
  <x:c r="C46" i="3"/>
  <x:c r="D46" i="3"/>
  <x:c r="E46" i="3"/>
  <x:c r="F46" i="3"/>
  <x:c r="G46" i="3"/>
  <x:c r="H46" i="3"/>
  <x:c r="B47" i="3"/>
  <x:c r="C47" i="3"/>
  <x:c r="D47" i="3"/>
  <x:c r="E47" i="3"/>
  <x:c r="F47" i="3"/>
  <x:c r="G47" i="3"/>
  <x:c r="H47" i="3"/>
  <x:c r="B48" i="3"/>
  <x:c r="C48" i="3"/>
  <x:c r="D48" i="3"/>
  <x:c r="E48" i="3"/>
  <x:c r="F48" i="3"/>
  <x:c r="G48" i="3"/>
  <x:c r="H48" i="3"/>
  <x:c r="C49" i="3"/>
  <x:c r="C5" i="4"/>
  <x:c r="D5" i="4"/>
  <x:c r="E5" i="4"/>
  <x:c r="F5" i="4"/>
  <x:c r="G5" i="4"/>
  <x:c r="I5" i="4"/>
  <x:c r="J5" i="4"/>
  <x:c r="K5" i="4"/>
  <x:c r="L5" i="4"/>
  <x:c r="B6" i="4"/>
  <x:c r="C6" i="4" a="1"/>
  <x:c r="C6" i="4"/>
  <x:c r="D6" i="4"/>
  <x:c r="E6" i="4"/>
  <x:c r="F6" i="4"/>
  <x:c r="G6" i="4"/>
  <x:c r="C7" i="4"/>
  <x:c r="D7" i="4"/>
  <x:c r="E7" i="4"/>
  <x:c r="F7" i="4"/>
  <x:c r="G7" i="4"/>
  <x:c r="C8" i="4"/>
  <x:c r="D8" i="4"/>
  <x:c r="E8" i="4"/>
  <x:c r="F8" i="4"/>
  <x:c r="G8" i="4"/>
  <x:c r="C9" i="4"/>
  <x:c r="D9" i="4"/>
  <x:c r="E9" i="4"/>
  <x:c r="F9" i="4"/>
  <x:c r="G9" i="4"/>
  <x:c r="C10" i="4"/>
  <x:c r="D10" i="4"/>
  <x:c r="E10" i="4"/>
  <x:c r="F10" i="4"/>
  <x:c r="G10" i="4"/>
  <x:c r="I6" i="4"/>
  <x:c r="J6" i="4"/>
  <x:c r="K6" i="4"/>
  <x:c r="L6" i="4"/>
  <x:c r="B7" i="4"/>
  <x:c r="I7" i="4"/>
  <x:c r="J7" i="4"/>
  <x:c r="K7" i="4"/>
  <x:c r="L7" i="4"/>
  <x:c r="B8" i="4"/>
  <x:c r="I8" i="4"/>
  <x:c r="J8" i="4"/>
  <x:c r="K8" i="4"/>
  <x:c r="L8" i="4"/>
  <x:c r="B9" i="4"/>
  <x:c r="I9" i="4"/>
  <x:c r="J9" i="4"/>
  <x:c r="K9" i="4"/>
  <x:c r="L9" i="4"/>
  <x:c r="B10" i="4"/>
  <x:c r="J10" i="4"/>
  <x:c r="K10" i="4"/>
  <x:c r="L10" i="4"/>
  <x:c r="C11" i="4"/>
  <x:c r="D11" i="4"/>
  <x:c r="E11" i="4"/>
  <x:c r="F11" i="4"/>
  <x:c r="G11" i="4"/>
  <x:c r="C15" i="4"/>
  <x:c r="D15" i="4"/>
  <x:c r="E15" i="4"/>
  <x:c r="F15" i="4"/>
  <x:c r="G15" i="4"/>
  <x:c r="B16" i="4"/>
  <x:c r="C16" i="4" a="1"/>
  <x:c r="C16" i="4"/>
  <x:c r="D16" i="4"/>
  <x:c r="E16" i="4"/>
  <x:c r="F16" i="4"/>
  <x:c r="G16" i="4"/>
  <x:c r="C17" i="4"/>
  <x:c r="D17" i="4"/>
  <x:c r="E17" i="4"/>
  <x:c r="F17" i="4"/>
  <x:c r="G17" i="4"/>
  <x:c r="C18" i="4"/>
  <x:c r="D18" i="4"/>
  <x:c r="E18" i="4"/>
  <x:c r="F18" i="4"/>
  <x:c r="G18" i="4"/>
  <x:c r="C19" i="4"/>
  <x:c r="D19" i="4"/>
  <x:c r="E19" i="4"/>
  <x:c r="F19" i="4"/>
  <x:c r="G19" i="4"/>
  <x:c r="C20" i="4"/>
  <x:c r="D20" i="4"/>
  <x:c r="E20" i="4"/>
  <x:c r="F20" i="4"/>
  <x:c r="G20" i="4"/>
  <x:c r="B17" i="4"/>
  <x:c r="B18" i="4"/>
  <x:c r="B19" i="4"/>
  <x:c r="B20" i="4"/>
  <x:c r="C21" i="4"/>
  <x:c r="D21" i="4"/>
  <x:c r="E21" i="4"/>
  <x:c r="F21" i="4"/>
  <x:c r="G21" i="4"/>
  <x:c r="C25" i="4"/>
  <x:c r="D25" i="4"/>
  <x:c r="E25" i="4"/>
  <x:c r="F25" i="4"/>
  <x:c r="G25" i="4"/>
  <x:c r="B26" i="4"/>
  <x:c r="C26" i="4" a="1"/>
  <x:c r="C26" i="4"/>
  <x:c r="D26" i="4"/>
  <x:c r="E26" i="4"/>
  <x:c r="F26" i="4"/>
  <x:c r="G26" i="4"/>
  <x:c r="C27" i="4"/>
  <x:c r="D27" i="4"/>
  <x:c r="E27" i="4"/>
  <x:c r="F27" i="4"/>
  <x:c r="G27" i="4"/>
  <x:c r="C28" i="4"/>
  <x:c r="D28" i="4"/>
  <x:c r="E28" i="4"/>
  <x:c r="F28" i="4"/>
  <x:c r="G28" i="4"/>
  <x:c r="C29" i="4"/>
  <x:c r="D29" i="4"/>
  <x:c r="E29" i="4"/>
  <x:c r="F29" i="4"/>
  <x:c r="G29" i="4"/>
  <x:c r="C30" i="4"/>
  <x:c r="D30" i="4"/>
  <x:c r="E30" i="4"/>
  <x:c r="F30" i="4"/>
  <x:c r="G30" i="4"/>
  <x:c r="B27" i="4"/>
  <x:c r="B28" i="4"/>
  <x:c r="B29" i="4"/>
  <x:c r="B30" i="4"/>
  <x:c r="C31" i="4"/>
  <x:c r="D31" i="4"/>
  <x:c r="E31" i="4"/>
  <x:c r="F31" i="4"/>
  <x:c r="G31" i="4"/>
</x:calcChain>
</file>

<file path=xl/sharedStrings.xml><?xml version="1.0" encoding="utf-8"?>
<x:sst xmlns:x="http://schemas.openxmlformats.org/spreadsheetml/2006/main">
  <x:si>
    <x:t>Portfolio risk: covariance, VaR, ES and VaR decomposition</x:t>
  </x:si>
  <x:si>
    <x:t>A five-asset book over 250 days of daily returns: three covariance estimators side by side (QF.COV), 99% Value-at-Risk and Expected Shortfall by historical, parametric and Cornish-Fisher methods (QF.VAR, QF.ES), and the allocation of the risk to the assets (QF.VAR.DECOMP).</x:t>
  </x:si>
  <x:si>
    <x:t>What is in this workbook</x:t>
  </x:si>
  <x:si>
    <x:t xml:space="preserve">   Returns: the date, the daily log returns of five assets, and the portfolio P&amp;L of the current positions (one formula per day).</x:t>
  </x:si>
  <x:si>
    <x:t xml:space="preserve">   Portfolio: confidence level and horizon, the positions, the VaR/ES table, P&amp;L statistics, and the parametric and historical decompositions.</x:t>
  </x:si>
  <x:si>
    <x:t xml:space="preserve">   Covariance: annualised sample, EWMA and Ledoit-Wolf (constant correlation) matrices, with a comparison of volatilities and of one correlation.</x:t>
  </x:si>
  <x:si>
    <x:t>The returns are synthetic: a fixed-seed multivariate Student-t (5 degrees of freedom) with realistic volatilities and correlations and two stress episodes, so that the three VaR methods differ. They are generated by tools/InFine.QuantFinance.ExcelSamples and are the same on every run.</x:t>
  </x:si>
  <x:si>
    <x:t>Functions used: QF.COV, QF.VAR, QF.ES, QF.VAR.DECOMP. QF.VAR, QF.ES and QF.VAR.DECOMP take the returns range and one exposure per asset; with a ranges of this size they run inline.</x:t>
  </x:si>
  <x:si>
    <x:t>Before you start</x:t>
  </x:si>
  <x:si>
    <x:t xml:space="preserve">   1. The numbers appear only when the InFine QuantFinance add-in (an Excel-DNA .xll, Windows, 64-bit Excel) is loaded. Without it, every QF.* cell shows #NAME?.</x:t>
  </x:si>
  <x:si>
    <x:t xml:space="preserve">   2. Build or download the packed add-in, unblock the file (right-click, Properties, Unblock), then File &gt; Options &gt; Add-ins &gt; Manage Excel Add-ins &gt; Go &gt; Browse and pick the .xll.</x:t>
  </x:si>
  <x:si>
    <x:t xml:space="preserve">   3. Open this workbook. If cells still show #NAME? or #REF!, press Ctrl+Alt+F9 (full recalculation): objects such as curves and covariance matrices are kept in memory and are rebuilt by the cells that create them.</x:t>
  </x:si>
  <x:si>
    <x:t xml:space="preserve">   4. Full instructions, the function reference and the conventions are in docs/excel.md:</x:t>
  </x:si>
  <x:si>
    <x:t xml:space="preserve">   https://github.com/infineco/quant-finance-library/blob/main/docs/excel.md</x:t>
  </x:si>
  <x:si>
    <x:t>Colour code</x:t>
  </x:si>
  <x:si>
    <x:t xml:space="preserve">   Blue on pale yellow: an input, type over it.</x:t>
  </x:si>
  <x:si>
    <x:t xml:space="preserve">   Black on white: a formula, do not overwrite it. Cells that start a QF.* block are Ctrl+Shift+Enter array formulas ({=...}).</x:t>
  </x:si>
  <x:si>
    <x:t>Diagnostics</x:t>
  </x:si>
  <x:si>
    <x:t xml:space="preserve">   Tip: a cell can only show #VALUE!, #NUM! or #REF!. When a QF.* cell fails, type =QF.LASTERROR() in a free cell to read the reason, with the function and the argument name (it is the last failure of any QF function).</x:t>
  </x:si>
  <x:si>
    <x:t>All market data in these workbooks is synthetic or illustrative; it is not a recommendation and not a market quote.</x:t>
  </x:si>
  <x:si>
    <x:t>Date</x:t>
  </x:si>
  <x:si>
    <x:t>ESTOXX50</x:t>
  </x:si>
  <x:si>
    <x:t>SPX</x:t>
  </x:si>
  <x:si>
    <x:t>GOLD</x:t>
  </x:si>
  <x:si>
    <x:t>BUND</x:t>
  </x:si>
  <x:si>
    <x:t>EURUSD</x:t>
  </x:si>
  <x:si>
    <x:t>Portfolio P&amp;L</x:t>
  </x:si>
  <x:si>
    <x:t>Daily log returns (synthetic). Yellow because they are data you can paste your own over; keep one column per asset, oldest date first.</x:t>
  </x:si>
  <x:si>
    <x:t>Value-at-Risk, Expected Shortfall and decomposition</x:t>
  </x:si>
  <x:si>
    <x:t>Yellow cells are inputs. VaR and ES are positive losses in currency units.</x:t>
  </x:si>
  <x:si>
    <x:t>Settings</x:t>
  </x:si>
  <x:si>
    <x:t>Value</x:t>
  </x:si>
  <x:si>
    <x:t>Confidence level</x:t>
  </x:si>
  <x:si>
    <x:t>Horizon (days)</x:t>
  </x:si>
  <x:si>
    <x:t>EWMA decay lambda</x:t>
  </x:si>
  <x:si>
    <x:t>Periods per year</x:t>
  </x:si>
  <x:si>
    <x:t>Position</x:t>
  </x:si>
  <x:si>
    <x:t>Exposure (EUR)</x:t>
  </x:si>
  <x:si>
    <x:t>Gross exposure</x:t>
  </x:si>
  <x:si>
    <x:t>Net exposure</x:t>
  </x:si>
  <x:si>
    <x:t>Method</x:t>
  </x:si>
  <x:si>
    <x:t>VaR</x:t>
  </x:si>
  <x:si>
    <x:t>ES</x:t>
  </x:si>
  <x:si>
    <x:t>VaR / gross</x:t>
  </x:si>
  <x:si>
    <x:t>ES / VaR</x:t>
  </x:si>
  <x:si>
    <x:t>HISTORICAL</x:t>
  </x:si>
  <x:si>
    <x:t>PARAMETRIC</x:t>
  </x:si>
  <x:si>
    <x:t>CORNISHFISHER</x:t>
  </x:si>
  <x:si>
    <x:t>Horizon scaling is the square-root-of-time rule for every method. CORNISHFISHER corrects the normal quantile for the skewness and kurtosis of the P&amp;L.</x:t>
  </x:si>
  <x:si>
    <x:t>Portfolio P&amp;L (1 day)</x:t>
  </x:si>
  <x:si>
    <x:t>Standard deviation</x:t>
  </x:si>
  <x:si>
    <x:t>Skewness</x:t>
  </x:si>
  <x:si>
    <x:t>Excess kurtosis</x:t>
  </x:si>
  <x:si>
    <x:t>Historical VaR from the P&amp;L column</x:t>
  </x:si>
  <x:si>
    <x:t>Difference with the table above</x:t>
  </x:si>
  <x:si>
    <x:t>QF.VAR on a P&amp;L sample (no positions argument)</x:t>
  </x:si>
  <x:si>
    <x:t>Parametric decomposition (delta-normal, exact)</x:t>
  </x:si>
  <x:si>
    <x:t/>
  </x:si>
  <x:si>
    <x:t>Components add up to the total</x:t>
  </x:si>
  <x:si>
    <x:t>Historical decomposition (kernel estimate: noisy on 250 days)</x:t>
  </x:si>
  <x:si>
    <x:t>Marginal VaR/ES are per unit of exposure; component = marginal x exposure; the components sum to the Total row. A negative component is a hedge.</x:t>
  </x:si>
  <x:si>
    <x:t>Covariance estimators</x:t>
  </x:si>
  <x:si>
    <x:t>Annualised covariance of the daily returns (x PeriodsPerYear). Settings Lambda and PeriodsPerYear are on the Portfolio sheet.</x:t>
  </x:si>
  <x:si>
    <x:t>SAMPLE (unbiased, equal weights)</x:t>
  </x:si>
  <x:si>
    <x:t>Volatility</x:t>
  </x:si>
  <x:si>
    <x:t>EWMA (RiskMetrics, decay Lambda)</x:t>
  </x:si>
  <x:si>
    <x:t>LW_CC (Ledoit-Wolf shrinkage to constant correlation)</x:t>
  </x:si>
  <x:si>
    <x:t>Annualised volatility</x:t>
  </x:si>
  <x:si>
    <x:t>SAMPLE</x:t>
  </x:si>
  <x:si>
    <x:t>EWMA</x:t>
  </x:si>
  <x:si>
    <x:t>LW_CC</x:t>
  </x:si>
  <x:si>
    <x:t>Correlation ESTOXX50 / SPX</x:t>
  </x:si>
  <x:si>
    <x:t>EWMA weights recent days more; Ledoit-Wolf shrinks the correlations towards their average.</x:t>
  </x:si>
</x:sst>
</file>

<file path=xl/styles.xml><?xml version="1.0" encoding="utf-8"?>
<x:styleSheet xmlns:x="http://schemas.openxmlformats.org/spreadsheetml/2006/main">
  <x:numFmts count="11">
    <x:numFmt numFmtId="0" formatCode=""/>
    <x:numFmt numFmtId="164" formatCode="dd-mmm-yyyy"/>
    <x:numFmt numFmtId="165" formatCode="0.00%"/>
    <x:numFmt numFmtId="166" formatCode="#,##0"/>
    <x:numFmt numFmtId="167" formatCode="0.0%"/>
    <x:numFmt numFmtId="168" formatCode="0"/>
    <x:numFmt numFmtId="169" formatCode="0.00"/>
    <x:numFmt numFmtId="170" formatCode="0.0E+00"/>
    <x:numFmt numFmtId="171" formatCode="General"/>
    <x:numFmt numFmtId="172" formatCode="0.0000"/>
    <x:numFmt numFmtId="173" formatCode="0.0000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1F3864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u val="single"/>
      <x:vertAlign val="baseline"/>
      <x:sz val="11"/>
      <x:color theme="10"/>
      <x:name val="Calibri"/>
      <x:family val="2"/>
    </x:font>
    <x:font>
      <x:vertAlign val="baseline"/>
      <x:sz val="11"/>
      <x:color rgb="FF0000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i/>
      <x:vertAlign val="baseline"/>
      <x:sz val="11"/>
      <x:color rgb="FF595959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  <x:border diagonalUp="0" diagonalDown="0">
      <x:left style="thin">
        <x:color rgb="FFBFBFBF"/>
      </x:left>
      <x:right style="none">
        <x:color rgb="FF000000"/>
      </x:right>
      <x:top style="thin">
        <x:color rgb="FFBFBFB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BFBFB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BFBFBF"/>
      </x:right>
      <x:top style="thin">
        <x:color rgb="FFBFBFBF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BFBFBF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none">
        <x:color rgb="FF000000"/>
      </x:right>
      <x:top style="none">
        <x:color rgb="FF000000"/>
      </x:top>
      <x:bottom style="thin">
        <x:color rgb="FFBFBFB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BFBFB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BFBFBF"/>
      </x:right>
      <x:top style="none">
        <x:color rgb="FF000000"/>
      </x:top>
      <x:bottom style="thin">
        <x:color rgb="FFBFBFBF"/>
      </x:bottom>
      <x:diagonal style="none">
        <x:color rgb="FF000000"/>
      </x:diagonal>
    </x:border>
  </x:borders>
  <x:cellStyleXfs count="4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4" fillId="3" borderId="1" applyNumberFormat="1" applyFill="0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4" fillId="3" borderId="1" applyNumberFormat="1" applyFill="0" applyBorder="1" applyAlignment="1" applyProtection="1">
      <x:protection locked="1" hidden="0"/>
    </x:xf>
    <x:xf numFmtId="168" fontId="4" fillId="3" borderId="1" applyNumberFormat="1" applyFill="0" applyBorder="1" applyAlignment="1" applyProtection="1">
      <x:protection locked="1" hidden="0"/>
    </x:xf>
    <x:xf numFmtId="169" fontId="4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4" fillId="3" borderId="1" applyNumberFormat="1" applyFill="0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9" fontId="0" fillId="0" borderId="1" applyNumberFormat="1" applyFill="1" applyBorder="1" applyAlignment="1" applyProtection="1">
      <x:protection locked="1" hidden="0"/>
    </x:xf>
    <x:xf numFmtId="170" fontId="0" fillId="0" borderId="1" applyNumberFormat="1" applyFill="1" applyBorder="1" applyAlignment="1" applyProtection="1">
      <x:protection locked="1" hidden="0"/>
    </x:xf>
    <x:xf numFmtId="171" fontId="5" fillId="4" borderId="2" applyNumberFormat="1" applyFill="0" applyBorder="1" applyAlignment="1" applyProtection="1">
      <x:protection locked="1" hidden="0"/>
    </x:xf>
    <x:xf numFmtId="171" fontId="5" fillId="4" borderId="3" applyNumberFormat="1" applyFill="0" applyBorder="1" applyAlignment="1" applyProtection="1">
      <x:protection locked="1" hidden="0"/>
    </x:xf>
    <x:xf numFmtId="171" fontId="5" fillId="4" borderId="4" applyNumberFormat="1" applyFill="0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72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167" fontId="0" fillId="0" borderId="6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172" fontId="5" fillId="0" borderId="8" applyNumberFormat="1" applyFill="1" applyBorder="1" applyAlignment="1" applyProtection="1">
      <x:protection locked="1" hidden="0"/>
    </x:xf>
    <x:xf numFmtId="166" fontId="5" fillId="0" borderId="8" applyNumberFormat="1" applyFill="1" applyBorder="1" applyAlignment="1" applyProtection="1">
      <x:protection locked="1" hidden="0"/>
    </x:xf>
    <x:xf numFmtId="167" fontId="5" fillId="0" borderId="8" applyNumberFormat="1" applyFill="1" applyBorder="1" applyAlignment="1" applyProtection="1">
      <x:protection locked="1" hidden="0"/>
    </x:xf>
    <x:xf numFmtId="167" fontId="5" fillId="0" borderId="9" applyNumberFormat="1" applyFill="1" applyBorder="1" applyAlignment="1" applyProtection="1">
      <x:protection locked="1" hidden="0"/>
    </x:xf>
    <x:xf numFmtId="0" fontId="5" fillId="4" borderId="0" applyNumberFormat="1" applyFill="0" applyBorder="0" applyAlignment="1" applyProtection="1">
      <x:protection locked="1" hidden="0"/>
    </x:xf>
    <x:xf numFmtId="167" fontId="0" fillId="0" borderId="1" applyNumberFormat="1" applyFill="1" applyBorder="1" applyAlignment="1" applyProtection="1">
      <x:protection locked="1" hidden="0"/>
    </x:xf>
    <x:xf numFmtId="173" fontId="0" fillId="0" borderId="2" applyNumberFormat="1" applyFill="1" applyBorder="1" applyAlignment="1" applyProtection="1">
      <x:protection locked="1" hidden="0"/>
    </x:xf>
    <x:xf numFmtId="173" fontId="0" fillId="0" borderId="3" applyNumberFormat="1" applyFill="1" applyBorder="1" applyAlignment="1" applyProtection="1">
      <x:protection locked="1" hidden="0"/>
    </x:xf>
    <x:xf numFmtId="173" fontId="0" fillId="0" borderId="4" applyNumberFormat="1" applyFill="1" applyBorder="1" applyAlignment="1" applyProtection="1">
      <x:protection locked="1" hidden="0"/>
    </x:xf>
    <x:xf numFmtId="173" fontId="0" fillId="0" borderId="5" applyNumberFormat="1" applyFill="1" applyBorder="1" applyAlignment="1" applyProtection="1">
      <x:protection locked="1" hidden="0"/>
    </x:xf>
    <x:xf numFmtId="173" fontId="0" fillId="0" borderId="0" applyNumberFormat="1" applyFill="1" applyBorder="0" applyAlignment="1" applyProtection="1">
      <x:protection locked="1" hidden="0"/>
    </x:xf>
    <x:xf numFmtId="173" fontId="0" fillId="0" borderId="6" applyNumberFormat="1" applyFill="1" applyBorder="1" applyAlignment="1" applyProtection="1">
      <x:protection locked="1" hidden="0"/>
    </x:xf>
    <x:xf numFmtId="173" fontId="0" fillId="0" borderId="7" applyNumberFormat="1" applyFill="1" applyBorder="1" applyAlignment="1" applyProtection="1">
      <x:protection locked="1" hidden="0"/>
    </x:xf>
    <x:xf numFmtId="173" fontId="0" fillId="0" borderId="8" applyNumberFormat="1" applyFill="1" applyBorder="1" applyAlignment="1" applyProtection="1">
      <x:protection locked="1" hidden="0"/>
    </x:xf>
    <x:xf numFmtId="173" fontId="0" fillId="0" borderId="9" applyNumberFormat="1" applyFill="1" applyBorder="1" applyAlignment="1" applyProtection="1">
      <x:protection locked="1" hidden="0"/>
    </x:xf>
  </x:cellStyleXfs>
  <x:cellXfs count="4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1" fontId="5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1" fontId="5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1" fontId="5" fillId="4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5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5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5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5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5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3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3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3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3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3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3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3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3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3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calcChain" Target="/xl/calcChain.xml" Id="rId9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/infineco/quant-finance-library/blob/main/docs/excel.md" TargetMode="External" Id="rId8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7F7F7F"/>
    <x:outlinePr summaryBelow="1" summaryRight="1"/>
  </x:sheetPr>
  <x:dimension ref="A1:B29"/>
  <x:sheetViews>
    <x:sheetView showGridLines="0" workbookViewId="0"/>
  </x:sheetViews>
  <x:sheetFormatPr defaultRowHeight="15"/>
  <x:cols>
    <x:col min="1" max="1" width="2.710625" style="0" customWidth="1"/>
    <x:col min="2" max="2" width="118.710625" style="0" customWidth="1"/>
  </x:cols>
  <x:sheetData>
    <x:row r="2" spans="1:2">
      <x:c r="B2" s="1" t="s">
        <x:v>0</x:v>
      </x:c>
    </x:row>
    <x:row r="3" spans="1:2">
      <x:c r="B3" s="2" t="s">
        <x:v>1</x:v>
      </x:c>
    </x:row>
    <x:row r="5" spans="1:2">
      <x:c r="B5" s="3" t="s">
        <x:v>2</x:v>
      </x:c>
    </x:row>
    <x:row r="6" spans="1:2">
      <x:c r="B6" s="2" t="s">
        <x:v>3</x:v>
      </x:c>
    </x:row>
    <x:row r="7" spans="1:2">
      <x:c r="B7" s="2" t="s">
        <x:v>4</x:v>
      </x:c>
    </x:row>
    <x:row r="8" spans="1:2">
      <x:c r="B8" s="2" t="s">
        <x:v>5</x:v>
      </x:c>
    </x:row>
    <x:row r="10" spans="1:2">
      <x:c r="B10" s="2" t="s">
        <x:v>6</x:v>
      </x:c>
    </x:row>
    <x:row r="11" spans="1:2">
      <x:c r="B11" s="2" t="s">
        <x:v>7</x:v>
      </x:c>
    </x:row>
    <x:row r="13" spans="1:2">
      <x:c r="B13" s="3" t="s">
        <x:v>8</x:v>
      </x:c>
    </x:row>
    <x:row r="14" spans="1:2">
      <x:c r="B14" s="2" t="s">
        <x:v>9</x:v>
      </x:c>
    </x:row>
    <x:row r="15" spans="1:2">
      <x:c r="B15" s="2" t="s">
        <x:v>10</x:v>
      </x:c>
    </x:row>
    <x:row r="16" spans="1:2">
      <x:c r="B16" s="2" t="s">
        <x:v>11</x:v>
      </x:c>
    </x:row>
    <x:row r="17" spans="1:2">
      <x:c r="B17" s="2" t="s">
        <x:v>12</x:v>
      </x:c>
    </x:row>
    <x:row r="18" spans="1:2">
      <x:c r="B18" s="4" t="s">
        <x:v>13</x:v>
      </x:c>
    </x:row>
    <x:row r="20" spans="1:2">
      <x:c r="B20" s="3" t="s">
        <x:v>14</x:v>
      </x:c>
    </x:row>
    <x:row r="21" spans="1:2">
      <x:c r="B21" s="5" t="s">
        <x:v>15</x:v>
      </x:c>
    </x:row>
    <x:row r="22" spans="1:2">
      <x:c r="B22" s="0" t="s">
        <x:v>16</x:v>
      </x:c>
    </x:row>
    <x:row r="24" spans="1:2">
      <x:c r="B24" s="3" t="s">
        <x:v>17</x:v>
      </x:c>
    </x:row>
    <x:row r="25" spans="1:2">
      <x:c r="B25" s="6">
        <x:f>"   Add-in status: "&amp;IF(ISERROR(QF.VERSION()),"NOT LOADED (QF.* cells show #NAME?)","loaded, version "&amp;QF.VERSION())</x:f>
      </x:c>
    </x:row>
    <x:row r="26" spans="1:2">
      <x:c r="B26" s="0">
        <x:f>"   Last error reported by the add-in (QF.LASTERROR): "&amp;IFERROR(QF.LASTERROR(),"(add-in not loaded)")</x:f>
      </x:c>
    </x:row>
    <x:row r="27" spans="1:2">
      <x:c r="B27" s="2" t="s">
        <x:v>18</x:v>
      </x:c>
    </x:row>
    <x:row r="29" spans="1:2">
      <x:c r="B29" s="2" t="s">
        <x:v>19</x:v>
      </x:c>
    </x:row>
  </x:sheetData>
  <x:hyperlinks>
    <x:hyperlink ref="B18" r:id="rId8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51"/>
  <x:sheetViews>
    <x:sheetView showGridLines="0" workbookViewId="0">
      <x:pane xSplit="0" ySplit="1" topLeftCell="A2" activePane="bottomLeft" state="frozenSplit"/>
    </x:sheetView>
  </x:sheetViews>
  <x:sheetFormatPr defaultRowHeight="15"/>
  <x:cols>
    <x:col min="1" max="1" width="2.710625" style="0" customWidth="1"/>
    <x:col min="2" max="2" width="14.710625" style="0" customWidth="1"/>
    <x:col min="3" max="7" width="11.710625" style="0" customWidth="1"/>
    <x:col min="8" max="8" width="16.710625" style="0" customWidth="1"/>
  </x:cols>
  <x:sheetData>
    <x:row r="1" spans="1:10">
      <x:c r="B1" s="7" t="s">
        <x:v>20</x:v>
      </x:c>
      <x:c r="C1" s="8" t="s">
        <x:v>21</x:v>
      </x:c>
      <x:c r="D1" s="8" t="s">
        <x:v>22</x:v>
      </x:c>
      <x:c r="E1" s="8" t="s">
        <x:v>23</x:v>
      </x:c>
      <x:c r="F1" s="8" t="s">
        <x:v>24</x:v>
      </x:c>
      <x:c r="G1" s="8" t="s">
        <x:v>25</x:v>
      </x:c>
      <x:c r="H1" s="8" t="s">
        <x:v>26</x:v>
      </x:c>
    </x:row>
    <x:row r="2" spans="1:10">
      <x:c r="B2" s="9">
        <x:v>45293</x:v>
      </x:c>
      <x:c r="C2" s="10">
        <x:v>0.00197</x:v>
      </x:c>
      <x:c r="D2" s="10">
        <x:v>0.003286</x:v>
      </x:c>
      <x:c r="E2" s="10">
        <x:v>0.001297</x:v>
      </x:c>
      <x:c r="F2" s="10">
        <x:v>-0.002334</x:v>
      </x:c>
      <x:c r="G2" s="10">
        <x:v>-0.004196</x:v>
      </x:c>
      <x:c r="H2" s="11">
        <x:f>MMULT(C2:G2,Exposures)</x:f>
      </x:c>
      <x:c r="J2" s="12" t="s">
        <x:v>27</x:v>
      </x:c>
    </x:row>
    <x:row r="3" spans="1:10">
      <x:c r="B3" s="9">
        <x:v>45294</x:v>
      </x:c>
      <x:c r="C3" s="10">
        <x:v>-0.010488</x:v>
      </x:c>
      <x:c r="D3" s="10">
        <x:v>0.006612</x:v>
      </x:c>
      <x:c r="E3" s="10">
        <x:v>0.000317</x:v>
      </x:c>
      <x:c r="F3" s="10">
        <x:v>0.004402</x:v>
      </x:c>
      <x:c r="G3" s="10">
        <x:v>0.006441</x:v>
      </x:c>
      <x:c r="H3" s="11">
        <x:f>MMULT(C3:G3,Exposures)</x:f>
      </x:c>
    </x:row>
    <x:row r="4" spans="1:10">
      <x:c r="B4" s="9">
        <x:v>45295</x:v>
      </x:c>
      <x:c r="C4" s="10">
        <x:v>-0.003883</x:v>
      </x:c>
      <x:c r="D4" s="10">
        <x:v>0.002362</x:v>
      </x:c>
      <x:c r="E4" s="10">
        <x:v>-0.01092</x:v>
      </x:c>
      <x:c r="F4" s="10">
        <x:v>-0.00127</x:v>
      </x:c>
      <x:c r="G4" s="10">
        <x:v>-0.003283</x:v>
      </x:c>
      <x:c r="H4" s="11">
        <x:f>MMULT(C4:G4,Exposures)</x:f>
      </x:c>
    </x:row>
    <x:row r="5" spans="1:10">
      <x:c r="B5" s="9">
        <x:v>45296</x:v>
      </x:c>
      <x:c r="C5" s="10">
        <x:v>0.002546</x:v>
      </x:c>
      <x:c r="D5" s="10">
        <x:v>0.000491</x:v>
      </x:c>
      <x:c r="E5" s="10">
        <x:v>0.002361</x:v>
      </x:c>
      <x:c r="F5" s="10">
        <x:v>0.002266</x:v>
      </x:c>
      <x:c r="G5" s="10">
        <x:v>-0.000187</x:v>
      </x:c>
      <x:c r="H5" s="11">
        <x:f>MMULT(C5:G5,Exposures)</x:f>
      </x:c>
    </x:row>
    <x:row r="6" spans="1:10">
      <x:c r="B6" s="9">
        <x:v>45299</x:v>
      </x:c>
      <x:c r="C6" s="10">
        <x:v>-0.002684</x:v>
      </x:c>
      <x:c r="D6" s="10">
        <x:v>-0.005238</x:v>
      </x:c>
      <x:c r="E6" s="10">
        <x:v>-0.006335</x:v>
      </x:c>
      <x:c r="F6" s="10">
        <x:v>-0.0017</x:v>
      </x:c>
      <x:c r="G6" s="10">
        <x:v>0.001507</x:v>
      </x:c>
      <x:c r="H6" s="11">
        <x:f>MMULT(C6:G6,Exposures)</x:f>
      </x:c>
    </x:row>
    <x:row r="7" spans="1:10">
      <x:c r="B7" s="9">
        <x:v>45300</x:v>
      </x:c>
      <x:c r="C7" s="10">
        <x:v>-0.002289</x:v>
      </x:c>
      <x:c r="D7" s="10">
        <x:v>-0.010117</x:v>
      </x:c>
      <x:c r="E7" s="10">
        <x:v>-0.010894</x:v>
      </x:c>
      <x:c r="F7" s="10">
        <x:v>0.000726</x:v>
      </x:c>
      <x:c r="G7" s="10">
        <x:v>-0.001582</x:v>
      </x:c>
      <x:c r="H7" s="11">
        <x:f>MMULT(C7:G7,Exposures)</x:f>
      </x:c>
    </x:row>
    <x:row r="8" spans="1:10">
      <x:c r="B8" s="9">
        <x:v>45301</x:v>
      </x:c>
      <x:c r="C8" s="10">
        <x:v>0.0123</x:v>
      </x:c>
      <x:c r="D8" s="10">
        <x:v>0.003223</x:v>
      </x:c>
      <x:c r="E8" s="10">
        <x:v>-3.8E-05</x:v>
      </x:c>
      <x:c r="F8" s="10">
        <x:v>-0.002364</x:v>
      </x:c>
      <x:c r="G8" s="10">
        <x:v>0.003134</x:v>
      </x:c>
      <x:c r="H8" s="11">
        <x:f>MMULT(C8:G8,Exposures)</x:f>
      </x:c>
    </x:row>
    <x:row r="9" spans="1:10">
      <x:c r="B9" s="9">
        <x:v>45302</x:v>
      </x:c>
      <x:c r="C9" s="10">
        <x:v>0.006282</x:v>
      </x:c>
      <x:c r="D9" s="10">
        <x:v>0.004726</x:v>
      </x:c>
      <x:c r="E9" s="10">
        <x:v>-0.000346</x:v>
      </x:c>
      <x:c r="F9" s="10">
        <x:v>0.000616</x:v>
      </x:c>
      <x:c r="G9" s="10">
        <x:v>-0.000306</x:v>
      </x:c>
      <x:c r="H9" s="11">
        <x:f>MMULT(C9:G9,Exposures)</x:f>
      </x:c>
    </x:row>
    <x:row r="10" spans="1:10">
      <x:c r="B10" s="9">
        <x:v>45303</x:v>
      </x:c>
      <x:c r="C10" s="10">
        <x:v>0.013728</x:v>
      </x:c>
      <x:c r="D10" s="10">
        <x:v>0.001401</x:v>
      </x:c>
      <x:c r="E10" s="10">
        <x:v>-0.010255</x:v>
      </x:c>
      <x:c r="F10" s="10">
        <x:v>-0.004803</x:v>
      </x:c>
      <x:c r="G10" s="10">
        <x:v>0.007573</x:v>
      </x:c>
      <x:c r="H10" s="11">
        <x:f>MMULT(C10:G10,Exposures)</x:f>
      </x:c>
    </x:row>
    <x:row r="11" spans="1:10">
      <x:c r="B11" s="9">
        <x:v>45306</x:v>
      </x:c>
      <x:c r="C11" s="10">
        <x:v>-0.0039</x:v>
      </x:c>
      <x:c r="D11" s="10">
        <x:v>-0.000943</x:v>
      </x:c>
      <x:c r="E11" s="10">
        <x:v>-0.008067</x:v>
      </x:c>
      <x:c r="F11" s="10">
        <x:v>0.000162</x:v>
      </x:c>
      <x:c r="G11" s="10">
        <x:v>0.000493</x:v>
      </x:c>
      <x:c r="H11" s="11">
        <x:f>MMULT(C11:G11,Exposures)</x:f>
      </x:c>
    </x:row>
    <x:row r="12" spans="1:10">
      <x:c r="B12" s="9">
        <x:v>45307</x:v>
      </x:c>
      <x:c r="C12" s="10">
        <x:v>0.002739</x:v>
      </x:c>
      <x:c r="D12" s="10">
        <x:v>-0.006979</x:v>
      </x:c>
      <x:c r="E12" s="10">
        <x:v>-0.000624</x:v>
      </x:c>
      <x:c r="F12" s="10">
        <x:v>-0.002829</x:v>
      </x:c>
      <x:c r="G12" s="10">
        <x:v>-0.002643</x:v>
      </x:c>
      <x:c r="H12" s="11">
        <x:f>MMULT(C12:G12,Exposures)</x:f>
      </x:c>
    </x:row>
    <x:row r="13" spans="1:10">
      <x:c r="B13" s="9">
        <x:v>45308</x:v>
      </x:c>
      <x:c r="C13" s="10">
        <x:v>0.005018</x:v>
      </x:c>
      <x:c r="D13" s="10">
        <x:v>0.006172</x:v>
      </x:c>
      <x:c r="E13" s="10">
        <x:v>0.004393</x:v>
      </x:c>
      <x:c r="F13" s="10">
        <x:v>0.004111</x:v>
      </x:c>
      <x:c r="G13" s="10">
        <x:v>-0.002808</x:v>
      </x:c>
      <x:c r="H13" s="11">
        <x:f>MMULT(C13:G13,Exposures)</x:f>
      </x:c>
    </x:row>
    <x:row r="14" spans="1:10">
      <x:c r="B14" s="9">
        <x:v>45309</x:v>
      </x:c>
      <x:c r="C14" s="10">
        <x:v>0.004515</x:v>
      </x:c>
      <x:c r="D14" s="10">
        <x:v>0.00451</x:v>
      </x:c>
      <x:c r="E14" s="10">
        <x:v>-0.002908</x:v>
      </x:c>
      <x:c r="F14" s="10">
        <x:v>0.006371</x:v>
      </x:c>
      <x:c r="G14" s="10">
        <x:v>0.000776</x:v>
      </x:c>
      <x:c r="H14" s="11">
        <x:f>MMULT(C14:G14,Exposures)</x:f>
      </x:c>
    </x:row>
    <x:row r="15" spans="1:10">
      <x:c r="B15" s="9">
        <x:v>45310</x:v>
      </x:c>
      <x:c r="C15" s="10">
        <x:v>-0.013553</x:v>
      </x:c>
      <x:c r="D15" s="10">
        <x:v>-0.00866</x:v>
      </x:c>
      <x:c r="E15" s="10">
        <x:v>-0.005689</x:v>
      </x:c>
      <x:c r="F15" s="10">
        <x:v>0.001071</x:v>
      </x:c>
      <x:c r="G15" s="10">
        <x:v>0.001802</x:v>
      </x:c>
      <x:c r="H15" s="11">
        <x:f>MMULT(C15:G15,Exposures)</x:f>
      </x:c>
    </x:row>
    <x:row r="16" spans="1:10">
      <x:c r="B16" s="9">
        <x:v>45313</x:v>
      </x:c>
      <x:c r="C16" s="10">
        <x:v>-0.000181</x:v>
      </x:c>
      <x:c r="D16" s="10">
        <x:v>-0.003879</x:v>
      </x:c>
      <x:c r="E16" s="10">
        <x:v>-0.009123</x:v>
      </x:c>
      <x:c r="F16" s="10">
        <x:v>-0.002732</x:v>
      </x:c>
      <x:c r="G16" s="10">
        <x:v>0.001229</x:v>
      </x:c>
      <x:c r="H16" s="11">
        <x:f>MMULT(C16:G16,Exposures)</x:f>
      </x:c>
    </x:row>
    <x:row r="17" spans="1:10">
      <x:c r="B17" s="9">
        <x:v>45314</x:v>
      </x:c>
      <x:c r="C17" s="10">
        <x:v>-0.00407</x:v>
      </x:c>
      <x:c r="D17" s="10">
        <x:v>-0.025697</x:v>
      </x:c>
      <x:c r="E17" s="10">
        <x:v>-0.020303</x:v>
      </x:c>
      <x:c r="F17" s="10">
        <x:v>0.004337</x:v>
      </x:c>
      <x:c r="G17" s="10">
        <x:v>-0.001095</x:v>
      </x:c>
      <x:c r="H17" s="11">
        <x:f>MMULT(C17:G17,Exposures)</x:f>
      </x:c>
    </x:row>
    <x:row r="18" spans="1:10">
      <x:c r="B18" s="9">
        <x:v>45315</x:v>
      </x:c>
      <x:c r="C18" s="10">
        <x:v>-0.016446</x:v>
      </x:c>
      <x:c r="D18" s="10">
        <x:v>-0.01756</x:v>
      </x:c>
      <x:c r="E18" s="10">
        <x:v>0.001657</x:v>
      </x:c>
      <x:c r="F18" s="10">
        <x:v>0.000298</x:v>
      </x:c>
      <x:c r="G18" s="10">
        <x:v>-0.002331</x:v>
      </x:c>
      <x:c r="H18" s="11">
        <x:f>MMULT(C18:G18,Exposures)</x:f>
      </x:c>
    </x:row>
    <x:row r="19" spans="1:10">
      <x:c r="B19" s="9">
        <x:v>45316</x:v>
      </x:c>
      <x:c r="C19" s="10">
        <x:v>0.010956</x:v>
      </x:c>
      <x:c r="D19" s="10">
        <x:v>0.003332</x:v>
      </x:c>
      <x:c r="E19" s="10">
        <x:v>0.017766</x:v>
      </x:c>
      <x:c r="F19" s="10">
        <x:v>-0.000362</x:v>
      </x:c>
      <x:c r="G19" s="10">
        <x:v>0.00209</x:v>
      </x:c>
      <x:c r="H19" s="11">
        <x:f>MMULT(C19:G19,Exposures)</x:f>
      </x:c>
    </x:row>
    <x:row r="20" spans="1:10">
      <x:c r="B20" s="9">
        <x:v>45317</x:v>
      </x:c>
      <x:c r="C20" s="10">
        <x:v>0.000317</x:v>
      </x:c>
      <x:c r="D20" s="10">
        <x:v>0.007273</x:v>
      </x:c>
      <x:c r="E20" s="10">
        <x:v>-0.004708</x:v>
      </x:c>
      <x:c r="F20" s="10">
        <x:v>0.007199</x:v>
      </x:c>
      <x:c r="G20" s="10">
        <x:v>0.001111</x:v>
      </x:c>
      <x:c r="H20" s="11">
        <x:f>MMULT(C20:G20,Exposures)</x:f>
      </x:c>
    </x:row>
    <x:row r="21" spans="1:10">
      <x:c r="B21" s="9">
        <x:v>45320</x:v>
      </x:c>
      <x:c r="C21" s="10">
        <x:v>0.009908</x:v>
      </x:c>
      <x:c r="D21" s="10">
        <x:v>0.013116</x:v>
      </x:c>
      <x:c r="E21" s="10">
        <x:v>-0.003847</x:v>
      </x:c>
      <x:c r="F21" s="10">
        <x:v>-0.010805</x:v>
      </x:c>
      <x:c r="G21" s="10">
        <x:v>-0.010608</x:v>
      </x:c>
      <x:c r="H21" s="11">
        <x:f>MMULT(C21:G21,Exposures)</x:f>
      </x:c>
    </x:row>
    <x:row r="22" spans="1:10">
      <x:c r="B22" s="9">
        <x:v>45321</x:v>
      </x:c>
      <x:c r="C22" s="10">
        <x:v>-0.003388</x:v>
      </x:c>
      <x:c r="D22" s="10">
        <x:v>0.00222</x:v>
      </x:c>
      <x:c r="E22" s="10">
        <x:v>-0.000556</x:v>
      </x:c>
      <x:c r="F22" s="10">
        <x:v>-0.003712</x:v>
      </x:c>
      <x:c r="G22" s="10">
        <x:v>-0.003469</x:v>
      </x:c>
      <x:c r="H22" s="11">
        <x:f>MMULT(C22:G22,Exposures)</x:f>
      </x:c>
    </x:row>
    <x:row r="23" spans="1:10">
      <x:c r="B23" s="9">
        <x:v>45322</x:v>
      </x:c>
      <x:c r="C23" s="10">
        <x:v>-0.027705</x:v>
      </x:c>
      <x:c r="D23" s="10">
        <x:v>-0.025233</x:v>
      </x:c>
      <x:c r="E23" s="10">
        <x:v>-0.024259</x:v>
      </x:c>
      <x:c r="F23" s="10">
        <x:v>0.004596</x:v>
      </x:c>
      <x:c r="G23" s="10">
        <x:v>-0.017727</x:v>
      </x:c>
      <x:c r="H23" s="11">
        <x:f>MMULT(C23:G23,Exposures)</x:f>
      </x:c>
    </x:row>
    <x:row r="24" spans="1:10">
      <x:c r="B24" s="9">
        <x:v>45323</x:v>
      </x:c>
      <x:c r="C24" s="10">
        <x:v>0.009354</x:v>
      </x:c>
      <x:c r="D24" s="10">
        <x:v>0.015203</x:v>
      </x:c>
      <x:c r="E24" s="10">
        <x:v>0.002971</x:v>
      </x:c>
      <x:c r="F24" s="10">
        <x:v>0.00363</x:v>
      </x:c>
      <x:c r="G24" s="10">
        <x:v>0.002012</x:v>
      </x:c>
      <x:c r="H24" s="11">
        <x:f>MMULT(C24:G24,Exposures)</x:f>
      </x:c>
    </x:row>
    <x:row r="25" spans="1:10">
      <x:c r="B25" s="9">
        <x:v>45324</x:v>
      </x:c>
      <x:c r="C25" s="10">
        <x:v>0.003606</x:v>
      </x:c>
      <x:c r="D25" s="10">
        <x:v>-0.005939</x:v>
      </x:c>
      <x:c r="E25" s="10">
        <x:v>-9.5E-05</x:v>
      </x:c>
      <x:c r="F25" s="10">
        <x:v>-0.000949</x:v>
      </x:c>
      <x:c r="G25" s="10">
        <x:v>-0.002139</x:v>
      </x:c>
      <x:c r="H25" s="11">
        <x:f>MMULT(C25:G25,Exposures)</x:f>
      </x:c>
    </x:row>
    <x:row r="26" spans="1:10">
      <x:c r="B26" s="9">
        <x:v>45327</x:v>
      </x:c>
      <x:c r="C26" s="10">
        <x:v>-0.002237</x:v>
      </x:c>
      <x:c r="D26" s="10">
        <x:v>0.00502</x:v>
      </x:c>
      <x:c r="E26" s="10">
        <x:v>-0.00096</x:v>
      </x:c>
      <x:c r="F26" s="10">
        <x:v>-0.000321</x:v>
      </x:c>
      <x:c r="G26" s="10">
        <x:v>-0.006404</x:v>
      </x:c>
      <x:c r="H26" s="11">
        <x:f>MMULT(C26:G26,Exposures)</x:f>
      </x:c>
    </x:row>
    <x:row r="27" spans="1:10">
      <x:c r="B27" s="9">
        <x:v>45328</x:v>
      </x:c>
      <x:c r="C27" s="10">
        <x:v>-0.009962</x:v>
      </x:c>
      <x:c r="D27" s="10">
        <x:v>-0.014572</x:v>
      </x:c>
      <x:c r="E27" s="10">
        <x:v>0.003585</x:v>
      </x:c>
      <x:c r="F27" s="10">
        <x:v>-0.001648</x:v>
      </x:c>
      <x:c r="G27" s="10">
        <x:v>-0.003201</x:v>
      </x:c>
      <x:c r="H27" s="11">
        <x:f>MMULT(C27:G27,Exposures)</x:f>
      </x:c>
    </x:row>
    <x:row r="28" spans="1:10">
      <x:c r="B28" s="9">
        <x:v>45329</x:v>
      </x:c>
      <x:c r="C28" s="10">
        <x:v>0.006333</x:v>
      </x:c>
      <x:c r="D28" s="10">
        <x:v>-0.00138</x:v>
      </x:c>
      <x:c r="E28" s="10">
        <x:v>0.006084</x:v>
      </x:c>
      <x:c r="F28" s="10">
        <x:v>-0.002892</x:v>
      </x:c>
      <x:c r="G28" s="10">
        <x:v>0.000953</x:v>
      </x:c>
      <x:c r="H28" s="11">
        <x:f>MMULT(C28:G28,Exposures)</x:f>
      </x:c>
    </x:row>
    <x:row r="29" spans="1:10">
      <x:c r="B29" s="9">
        <x:v>45330</x:v>
      </x:c>
      <x:c r="C29" s="10">
        <x:v>-0.001072</x:v>
      </x:c>
      <x:c r="D29" s="10">
        <x:v>-0.004435</x:v>
      </x:c>
      <x:c r="E29" s="10">
        <x:v>0.002558</x:v>
      </x:c>
      <x:c r="F29" s="10">
        <x:v>0.002621</x:v>
      </x:c>
      <x:c r="G29" s="10">
        <x:v>0.006923</x:v>
      </x:c>
      <x:c r="H29" s="11">
        <x:f>MMULT(C29:G29,Exposures)</x:f>
      </x:c>
    </x:row>
    <x:row r="30" spans="1:10">
      <x:c r="B30" s="9">
        <x:v>45331</x:v>
      </x:c>
      <x:c r="C30" s="10">
        <x:v>-0.002493</x:v>
      </x:c>
      <x:c r="D30" s="10">
        <x:v>0.001895</x:v>
      </x:c>
      <x:c r="E30" s="10">
        <x:v>-0.003255</x:v>
      </x:c>
      <x:c r="F30" s="10">
        <x:v>-0.001685</x:v>
      </x:c>
      <x:c r="G30" s="10">
        <x:v>-0.002596</x:v>
      </x:c>
      <x:c r="H30" s="11">
        <x:f>MMULT(C30:G30,Exposures)</x:f>
      </x:c>
    </x:row>
    <x:row r="31" spans="1:10">
      <x:c r="B31" s="9">
        <x:v>45334</x:v>
      </x:c>
      <x:c r="C31" s="10">
        <x:v>0.004568</x:v>
      </x:c>
      <x:c r="D31" s="10">
        <x:v>0.007901</x:v>
      </x:c>
      <x:c r="E31" s="10">
        <x:v>0.001609</x:v>
      </x:c>
      <x:c r="F31" s="10">
        <x:v>0.004901</x:v>
      </x:c>
      <x:c r="G31" s="10">
        <x:v>-0.003103</x:v>
      </x:c>
      <x:c r="H31" s="11">
        <x:f>MMULT(C31:G31,Exposures)</x:f>
      </x:c>
    </x:row>
    <x:row r="32" spans="1:10">
      <x:c r="B32" s="9">
        <x:v>45335</x:v>
      </x:c>
      <x:c r="C32" s="10">
        <x:v>-0.013345</x:v>
      </x:c>
      <x:c r="D32" s="10">
        <x:v>-0.006794</x:v>
      </x:c>
      <x:c r="E32" s="10">
        <x:v>-0.003063</x:v>
      </x:c>
      <x:c r="F32" s="10">
        <x:v>0.000169</x:v>
      </x:c>
      <x:c r="G32" s="10">
        <x:v>-0.002139</x:v>
      </x:c>
      <x:c r="H32" s="11">
        <x:f>MMULT(C32:G32,Exposures)</x:f>
      </x:c>
    </x:row>
    <x:row r="33" spans="1:10">
      <x:c r="B33" s="9">
        <x:v>45336</x:v>
      </x:c>
      <x:c r="C33" s="10">
        <x:v>-0.007979</x:v>
      </x:c>
      <x:c r="D33" s="10">
        <x:v>-0.011131</x:v>
      </x:c>
      <x:c r="E33" s="10">
        <x:v>-0.009582</x:v>
      </x:c>
      <x:c r="F33" s="10">
        <x:v>0.002822</x:v>
      </x:c>
      <x:c r="G33" s="10">
        <x:v>0.001573</x:v>
      </x:c>
      <x:c r="H33" s="11">
        <x:f>MMULT(C33:G33,Exposures)</x:f>
      </x:c>
    </x:row>
    <x:row r="34" spans="1:10">
      <x:c r="B34" s="9">
        <x:v>45337</x:v>
      </x:c>
      <x:c r="C34" s="10">
        <x:v>0.018921</x:v>
      </x:c>
      <x:c r="D34" s="10">
        <x:v>0.013638</x:v>
      </x:c>
      <x:c r="E34" s="10">
        <x:v>0.00985</x:v>
      </x:c>
      <x:c r="F34" s="10">
        <x:v>-0.001692</x:v>
      </x:c>
      <x:c r="G34" s="10">
        <x:v>0.002192</x:v>
      </x:c>
      <x:c r="H34" s="11">
        <x:f>MMULT(C34:G34,Exposures)</x:f>
      </x:c>
    </x:row>
    <x:row r="35" spans="1:10">
      <x:c r="B35" s="9">
        <x:v>45338</x:v>
      </x:c>
      <x:c r="C35" s="10">
        <x:v>-0.008985</x:v>
      </x:c>
      <x:c r="D35" s="10">
        <x:v>-0.002503</x:v>
      </x:c>
      <x:c r="E35" s="10">
        <x:v>0.002008</x:v>
      </x:c>
      <x:c r="F35" s="10">
        <x:v>0.000905</x:v>
      </x:c>
      <x:c r="G35" s="10">
        <x:v>-0.000676</x:v>
      </x:c>
      <x:c r="H35" s="11">
        <x:f>MMULT(C35:G35,Exposures)</x:f>
      </x:c>
    </x:row>
    <x:row r="36" spans="1:10">
      <x:c r="B36" s="9">
        <x:v>45341</x:v>
      </x:c>
      <x:c r="C36" s="10">
        <x:v>-0.010389</x:v>
      </x:c>
      <x:c r="D36" s="10">
        <x:v>-0.011018</x:v>
      </x:c>
      <x:c r="E36" s="10">
        <x:v>-0.008635</x:v>
      </x:c>
      <x:c r="F36" s="10">
        <x:v>-0.003312</x:v>
      </x:c>
      <x:c r="G36" s="10">
        <x:v>-0.001572</x:v>
      </x:c>
      <x:c r="H36" s="11">
        <x:f>MMULT(C36:G36,Exposures)</x:f>
      </x:c>
    </x:row>
    <x:row r="37" spans="1:10">
      <x:c r="B37" s="9">
        <x:v>45342</x:v>
      </x:c>
      <x:c r="C37" s="10">
        <x:v>-0.016053</x:v>
      </x:c>
      <x:c r="D37" s="10">
        <x:v>-0.012939</x:v>
      </x:c>
      <x:c r="E37" s="10">
        <x:v>-0.002528</x:v>
      </x:c>
      <x:c r="F37" s="10">
        <x:v>0.001224</x:v>
      </x:c>
      <x:c r="G37" s="10">
        <x:v>-0.002088</x:v>
      </x:c>
      <x:c r="H37" s="11">
        <x:f>MMULT(C37:G37,Exposures)</x:f>
      </x:c>
    </x:row>
    <x:row r="38" spans="1:10">
      <x:c r="B38" s="9">
        <x:v>45343</x:v>
      </x:c>
      <x:c r="C38" s="10">
        <x:v>0.008745</x:v>
      </x:c>
      <x:c r="D38" s="10">
        <x:v>0.009159</x:v>
      </x:c>
      <x:c r="E38" s="10">
        <x:v>0.00163</x:v>
      </x:c>
      <x:c r="F38" s="10">
        <x:v>0.000778</x:v>
      </x:c>
      <x:c r="G38" s="10">
        <x:v>0.00209</x:v>
      </x:c>
      <x:c r="H38" s="11">
        <x:f>MMULT(C38:G38,Exposures)</x:f>
      </x:c>
    </x:row>
    <x:row r="39" spans="1:10">
      <x:c r="B39" s="9">
        <x:v>45344</x:v>
      </x:c>
      <x:c r="C39" s="10">
        <x:v>0.028748</x:v>
      </x:c>
      <x:c r="D39" s="10">
        <x:v>0.026426</x:v>
      </x:c>
      <x:c r="E39" s="10">
        <x:v>0.000923</x:v>
      </x:c>
      <x:c r="F39" s="10">
        <x:v>-0.004785</x:v>
      </x:c>
      <x:c r="G39" s="10">
        <x:v>-0.010509</x:v>
      </x:c>
      <x:c r="H39" s="11">
        <x:f>MMULT(C39:G39,Exposures)</x:f>
      </x:c>
    </x:row>
    <x:row r="40" spans="1:10">
      <x:c r="B40" s="9">
        <x:v>45345</x:v>
      </x:c>
      <x:c r="C40" s="10">
        <x:v>-0.009671</x:v>
      </x:c>
      <x:c r="D40" s="10">
        <x:v>-0.007583</x:v>
      </x:c>
      <x:c r="E40" s="10">
        <x:v>0.008174</x:v>
      </x:c>
      <x:c r="F40" s="10">
        <x:v>0.000567</x:v>
      </x:c>
      <x:c r="G40" s="10">
        <x:v>-0.003832</x:v>
      </x:c>
      <x:c r="H40" s="11">
        <x:f>MMULT(C40:G40,Exposures)</x:f>
      </x:c>
    </x:row>
    <x:row r="41" spans="1:10">
      <x:c r="B41" s="9">
        <x:v>45348</x:v>
      </x:c>
      <x:c r="C41" s="10">
        <x:v>-0.010805</x:v>
      </x:c>
      <x:c r="D41" s="10">
        <x:v>-0.015335</x:v>
      </x:c>
      <x:c r="E41" s="10">
        <x:v>-0.006008</x:v>
      </x:c>
      <x:c r="F41" s="10">
        <x:v>0.006004</x:v>
      </x:c>
      <x:c r="G41" s="10">
        <x:v>0.000649</x:v>
      </x:c>
      <x:c r="H41" s="11">
        <x:f>MMULT(C41:G41,Exposures)</x:f>
      </x:c>
    </x:row>
    <x:row r="42" spans="1:10">
      <x:c r="B42" s="9">
        <x:v>45349</x:v>
      </x:c>
      <x:c r="C42" s="10">
        <x:v>-0.002521</x:v>
      </x:c>
      <x:c r="D42" s="10">
        <x:v>0.001582</x:v>
      </x:c>
      <x:c r="E42" s="10">
        <x:v>-0.00381</x:v>
      </x:c>
      <x:c r="F42" s="10">
        <x:v>0.001423</x:v>
      </x:c>
      <x:c r="G42" s="10">
        <x:v>-0.002069</x:v>
      </x:c>
      <x:c r="H42" s="11">
        <x:f>MMULT(C42:G42,Exposures)</x:f>
      </x:c>
    </x:row>
    <x:row r="43" spans="1:10">
      <x:c r="B43" s="9">
        <x:v>45350</x:v>
      </x:c>
      <x:c r="C43" s="10">
        <x:v>0.005478</x:v>
      </x:c>
      <x:c r="D43" s="10">
        <x:v>0.013956</x:v>
      </x:c>
      <x:c r="E43" s="10">
        <x:v>0.005392</x:v>
      </x:c>
      <x:c r="F43" s="10">
        <x:v>-0.000641</x:v>
      </x:c>
      <x:c r="G43" s="10">
        <x:v>0.006796</x:v>
      </x:c>
      <x:c r="H43" s="11">
        <x:f>MMULT(C43:G43,Exposures)</x:f>
      </x:c>
    </x:row>
    <x:row r="44" spans="1:10">
      <x:c r="B44" s="9">
        <x:v>45351</x:v>
      </x:c>
      <x:c r="C44" s="10">
        <x:v>-0.012569</x:v>
      </x:c>
      <x:c r="D44" s="10">
        <x:v>-0.003455</x:v>
      </x:c>
      <x:c r="E44" s="10">
        <x:v>0.008931</x:v>
      </x:c>
      <x:c r="F44" s="10">
        <x:v>0.006116</x:v>
      </x:c>
      <x:c r="G44" s="10">
        <x:v>0.002829</x:v>
      </x:c>
      <x:c r="H44" s="11">
        <x:f>MMULT(C44:G44,Exposures)</x:f>
      </x:c>
    </x:row>
    <x:row r="45" spans="1:10">
      <x:c r="B45" s="9">
        <x:v>45352</x:v>
      </x:c>
      <x:c r="C45" s="10">
        <x:v>-0.014908</x:v>
      </x:c>
      <x:c r="D45" s="10">
        <x:v>-0.00958</x:v>
      </x:c>
      <x:c r="E45" s="10">
        <x:v>0.010514</x:v>
      </x:c>
      <x:c r="F45" s="10">
        <x:v>0.003288</x:v>
      </x:c>
      <x:c r="G45" s="10">
        <x:v>-0.007563</x:v>
      </x:c>
      <x:c r="H45" s="11">
        <x:f>MMULT(C45:G45,Exposures)</x:f>
      </x:c>
    </x:row>
    <x:row r="46" spans="1:10">
      <x:c r="B46" s="9">
        <x:v>45355</x:v>
      </x:c>
      <x:c r="C46" s="10">
        <x:v>0.000912</x:v>
      </x:c>
      <x:c r="D46" s="10">
        <x:v>-0.000396</x:v>
      </x:c>
      <x:c r="E46" s="10">
        <x:v>0.009366</x:v>
      </x:c>
      <x:c r="F46" s="10">
        <x:v>0.006907</x:v>
      </x:c>
      <x:c r="G46" s="10">
        <x:v>0.000372</x:v>
      </x:c>
      <x:c r="H46" s="11">
        <x:f>MMULT(C46:G46,Exposures)</x:f>
      </x:c>
    </x:row>
    <x:row r="47" spans="1:10">
      <x:c r="B47" s="9">
        <x:v>45356</x:v>
      </x:c>
      <x:c r="C47" s="10">
        <x:v>-0.007225</x:v>
      </x:c>
      <x:c r="D47" s="10">
        <x:v>-0.009403</x:v>
      </x:c>
      <x:c r="E47" s="10">
        <x:v>0.000304</x:v>
      </x:c>
      <x:c r="F47" s="10">
        <x:v>-0.00651</x:v>
      </x:c>
      <x:c r="G47" s="10">
        <x:v>0.009903</x:v>
      </x:c>
      <x:c r="H47" s="11">
        <x:f>MMULT(C47:G47,Exposures)</x:f>
      </x:c>
    </x:row>
    <x:row r="48" spans="1:10">
      <x:c r="B48" s="9">
        <x:v>45357</x:v>
      </x:c>
      <x:c r="C48" s="10">
        <x:v>-0.000611</x:v>
      </x:c>
      <x:c r="D48" s="10">
        <x:v>0.019172</x:v>
      </x:c>
      <x:c r="E48" s="10">
        <x:v>-0.004875</x:v>
      </x:c>
      <x:c r="F48" s="10">
        <x:v>-0.003892</x:v>
      </x:c>
      <x:c r="G48" s="10">
        <x:v>-0.002886</x:v>
      </x:c>
      <x:c r="H48" s="11">
        <x:f>MMULT(C48:G48,Exposures)</x:f>
      </x:c>
    </x:row>
    <x:row r="49" spans="1:10">
      <x:c r="B49" s="9">
        <x:v>45358</x:v>
      </x:c>
      <x:c r="C49" s="10">
        <x:v>-0.010943</x:v>
      </x:c>
      <x:c r="D49" s="10">
        <x:v>-0.008242</x:v>
      </x:c>
      <x:c r="E49" s="10">
        <x:v>-0.00981</x:v>
      </x:c>
      <x:c r="F49" s="10">
        <x:v>-0.00294</x:v>
      </x:c>
      <x:c r="G49" s="10">
        <x:v>-0.001825</x:v>
      </x:c>
      <x:c r="H49" s="11">
        <x:f>MMULT(C49:G49,Exposures)</x:f>
      </x:c>
    </x:row>
    <x:row r="50" spans="1:10">
      <x:c r="B50" s="9">
        <x:v>45359</x:v>
      </x:c>
      <x:c r="C50" s="10">
        <x:v>-0.004694</x:v>
      </x:c>
      <x:c r="D50" s="10">
        <x:v>-0.005688</x:v>
      </x:c>
      <x:c r="E50" s="10">
        <x:v>0.00908</x:v>
      </x:c>
      <x:c r="F50" s="10">
        <x:v>-0.012817</x:v>
      </x:c>
      <x:c r="G50" s="10">
        <x:v>-7.8E-05</x:v>
      </x:c>
      <x:c r="H50" s="11">
        <x:f>MMULT(C50:G50,Exposures)</x:f>
      </x:c>
    </x:row>
    <x:row r="51" spans="1:10">
      <x:c r="B51" s="9">
        <x:v>45362</x:v>
      </x:c>
      <x:c r="C51" s="10">
        <x:v>-0.009886</x:v>
      </x:c>
      <x:c r="D51" s="10">
        <x:v>-0.000512</x:v>
      </x:c>
      <x:c r="E51" s="10">
        <x:v>0.003097</x:v>
      </x:c>
      <x:c r="F51" s="10">
        <x:v>-0.000182</x:v>
      </x:c>
      <x:c r="G51" s="10">
        <x:v>0.002047</x:v>
      </x:c>
      <x:c r="H51" s="11">
        <x:f>MMULT(C51:G51,Exposures)</x:f>
      </x:c>
    </x:row>
    <x:row r="52" spans="1:10">
      <x:c r="B52" s="9">
        <x:v>45363</x:v>
      </x:c>
      <x:c r="C52" s="10">
        <x:v>-0.00423</x:v>
      </x:c>
      <x:c r="D52" s="10">
        <x:v>-0.006126</x:v>
      </x:c>
      <x:c r="E52" s="10">
        <x:v>-0.008039</x:v>
      </x:c>
      <x:c r="F52" s="10">
        <x:v>-0.000634</x:v>
      </x:c>
      <x:c r="G52" s="10">
        <x:v>0.000517</x:v>
      </x:c>
      <x:c r="H52" s="11">
        <x:f>MMULT(C52:G52,Exposures)</x:f>
      </x:c>
    </x:row>
    <x:row r="53" spans="1:10">
      <x:c r="B53" s="9">
        <x:v>45364</x:v>
      </x:c>
      <x:c r="C53" s="10">
        <x:v>-0.002404</x:v>
      </x:c>
      <x:c r="D53" s="10">
        <x:v>-0.009339</x:v>
      </x:c>
      <x:c r="E53" s="10">
        <x:v>0.004925</x:v>
      </x:c>
      <x:c r="F53" s="10">
        <x:v>-0.003015</x:v>
      </x:c>
      <x:c r="G53" s="10">
        <x:v>-0.001899</x:v>
      </x:c>
      <x:c r="H53" s="11">
        <x:f>MMULT(C53:G53,Exposures)</x:f>
      </x:c>
    </x:row>
    <x:row r="54" spans="1:10">
      <x:c r="B54" s="9">
        <x:v>45365</x:v>
      </x:c>
      <x:c r="C54" s="10">
        <x:v>0.006738</x:v>
      </x:c>
      <x:c r="D54" s="10">
        <x:v>-0.002741</x:v>
      </x:c>
      <x:c r="E54" s="10">
        <x:v>0.014516</x:v>
      </x:c>
      <x:c r="F54" s="10">
        <x:v>-0.004661</x:v>
      </x:c>
      <x:c r="G54" s="10">
        <x:v>0.001101</x:v>
      </x:c>
      <x:c r="H54" s="11">
        <x:f>MMULT(C54:G54,Exposures)</x:f>
      </x:c>
    </x:row>
    <x:row r="55" spans="1:10">
      <x:c r="B55" s="9">
        <x:v>45366</x:v>
      </x:c>
      <x:c r="C55" s="10">
        <x:v>-0.026924</x:v>
      </x:c>
      <x:c r="D55" s="10">
        <x:v>-0.029502</x:v>
      </x:c>
      <x:c r="E55" s="10">
        <x:v>0.002663</x:v>
      </x:c>
      <x:c r="F55" s="10">
        <x:v>-0.001635</x:v>
      </x:c>
      <x:c r="G55" s="10">
        <x:v>-0.002596</x:v>
      </x:c>
      <x:c r="H55" s="11">
        <x:f>MMULT(C55:G55,Exposures)</x:f>
      </x:c>
    </x:row>
    <x:row r="56" spans="1:10">
      <x:c r="B56" s="9">
        <x:v>45369</x:v>
      </x:c>
      <x:c r="C56" s="10">
        <x:v>-0.017947</x:v>
      </x:c>
      <x:c r="D56" s="10">
        <x:v>-0.017199</x:v>
      </x:c>
      <x:c r="E56" s="10">
        <x:v>0.028185</x:v>
      </x:c>
      <x:c r="F56" s="10">
        <x:v>0.003136</x:v>
      </x:c>
      <x:c r="G56" s="10">
        <x:v>0.000987</x:v>
      </x:c>
      <x:c r="H56" s="11">
        <x:f>MMULT(C56:G56,Exposures)</x:f>
      </x:c>
    </x:row>
    <x:row r="57" spans="1:10">
      <x:c r="B57" s="9">
        <x:v>45370</x:v>
      </x:c>
      <x:c r="C57" s="10">
        <x:v>-0.005274</x:v>
      </x:c>
      <x:c r="D57" s="10">
        <x:v>-0.000883</x:v>
      </x:c>
      <x:c r="E57" s="10">
        <x:v>-0.008503</x:v>
      </x:c>
      <x:c r="F57" s="10">
        <x:v>-0.002612</x:v>
      </x:c>
      <x:c r="G57" s="10">
        <x:v>-0.019525</x:v>
      </x:c>
      <x:c r="H57" s="11">
        <x:f>MMULT(C57:G57,Exposures)</x:f>
      </x:c>
    </x:row>
    <x:row r="58" spans="1:10">
      <x:c r="B58" s="9">
        <x:v>45371</x:v>
      </x:c>
      <x:c r="C58" s="10">
        <x:v>-0.006537</x:v>
      </x:c>
      <x:c r="D58" s="10">
        <x:v>-0.016173</x:v>
      </x:c>
      <x:c r="E58" s="10">
        <x:v>0.035193</x:v>
      </x:c>
      <x:c r="F58" s="10">
        <x:v>0.002015</x:v>
      </x:c>
      <x:c r="G58" s="10">
        <x:v>0.010611</x:v>
      </x:c>
      <x:c r="H58" s="11">
        <x:f>MMULT(C58:G58,Exposures)</x:f>
      </x:c>
    </x:row>
    <x:row r="59" spans="1:10">
      <x:c r="B59" s="9">
        <x:v>45372</x:v>
      </x:c>
      <x:c r="C59" s="10">
        <x:v>0.018557</x:v>
      </x:c>
      <x:c r="D59" s="10">
        <x:v>0.01629</x:v>
      </x:c>
      <x:c r="E59" s="10">
        <x:v>0.005474</x:v>
      </x:c>
      <x:c r="F59" s="10">
        <x:v>-0.000758</x:v>
      </x:c>
      <x:c r="G59" s="10">
        <x:v>0.006652</x:v>
      </x:c>
      <x:c r="H59" s="11">
        <x:f>MMULT(C59:G59,Exposures)</x:f>
      </x:c>
    </x:row>
    <x:row r="60" spans="1:10">
      <x:c r="B60" s="9">
        <x:v>45373</x:v>
      </x:c>
      <x:c r="C60" s="10">
        <x:v>-0.007507</x:v>
      </x:c>
      <x:c r="D60" s="10">
        <x:v>-0.01831</x:v>
      </x:c>
      <x:c r="E60" s="10">
        <x:v>-0.016391</x:v>
      </x:c>
      <x:c r="F60" s="10">
        <x:v>0.000272</x:v>
      </x:c>
      <x:c r="G60" s="10">
        <x:v>-0.008994</x:v>
      </x:c>
      <x:c r="H60" s="11">
        <x:f>MMULT(C60:G60,Exposures)</x:f>
      </x:c>
    </x:row>
    <x:row r="61" spans="1:10">
      <x:c r="B61" s="9">
        <x:v>45376</x:v>
      </x:c>
      <x:c r="C61" s="10">
        <x:v>0.012459</x:v>
      </x:c>
      <x:c r="D61" s="10">
        <x:v>0.006152</x:v>
      </x:c>
      <x:c r="E61" s="10">
        <x:v>0.004475</x:v>
      </x:c>
      <x:c r="F61" s="10">
        <x:v>-0.001316</x:v>
      </x:c>
      <x:c r="G61" s="10">
        <x:v>0.002673</x:v>
      </x:c>
      <x:c r="H61" s="11">
        <x:f>MMULT(C61:G61,Exposures)</x:f>
      </x:c>
    </x:row>
    <x:row r="62" spans="1:10">
      <x:c r="B62" s="9">
        <x:v>45377</x:v>
      </x:c>
      <x:c r="C62" s="10">
        <x:v>0.015396</x:v>
      </x:c>
      <x:c r="D62" s="10">
        <x:v>0.012473</x:v>
      </x:c>
      <x:c r="E62" s="10">
        <x:v>0.007597</x:v>
      </x:c>
      <x:c r="F62" s="10">
        <x:v>-0.000862</x:v>
      </x:c>
      <x:c r="G62" s="10">
        <x:v>0.004916</x:v>
      </x:c>
      <x:c r="H62" s="11">
        <x:f>MMULT(C62:G62,Exposures)</x:f>
      </x:c>
    </x:row>
    <x:row r="63" spans="1:10">
      <x:c r="B63" s="9">
        <x:v>45378</x:v>
      </x:c>
      <x:c r="C63" s="10">
        <x:v>-0.030107</x:v>
      </x:c>
      <x:c r="D63" s="10">
        <x:v>-0.034444</x:v>
      </x:c>
      <x:c r="E63" s="10">
        <x:v>-0.010802</x:v>
      </x:c>
      <x:c r="F63" s="10">
        <x:v>0.008946</x:v>
      </x:c>
      <x:c r="G63" s="10">
        <x:v>-0.002159</x:v>
      </x:c>
      <x:c r="H63" s="11">
        <x:f>MMULT(C63:G63,Exposures)</x:f>
      </x:c>
    </x:row>
    <x:row r="64" spans="1:10">
      <x:c r="B64" s="9">
        <x:v>45379</x:v>
      </x:c>
      <x:c r="C64" s="10">
        <x:v>-0.009792</x:v>
      </x:c>
      <x:c r="D64" s="10">
        <x:v>-0.00078</x:v>
      </x:c>
      <x:c r="E64" s="10">
        <x:v>0.004217</x:v>
      </x:c>
      <x:c r="F64" s="10">
        <x:v>0.006683</x:v>
      </x:c>
      <x:c r="G64" s="10">
        <x:v>0.004743</x:v>
      </x:c>
      <x:c r="H64" s="11">
        <x:f>MMULT(C64:G64,Exposures)</x:f>
      </x:c>
    </x:row>
    <x:row r="65" spans="1:10">
      <x:c r="B65" s="9">
        <x:v>45380</x:v>
      </x:c>
      <x:c r="C65" s="10">
        <x:v>-0.002188</x:v>
      </x:c>
      <x:c r="D65" s="10">
        <x:v>-0.009964</x:v>
      </x:c>
      <x:c r="E65" s="10">
        <x:v>0.004526</x:v>
      </x:c>
      <x:c r="F65" s="10">
        <x:v>-0.005745</x:v>
      </x:c>
      <x:c r="G65" s="10">
        <x:v>-0.006378</x:v>
      </x:c>
      <x:c r="H65" s="11">
        <x:f>MMULT(C65:G65,Exposures)</x:f>
      </x:c>
    </x:row>
    <x:row r="66" spans="1:10">
      <x:c r="B66" s="9">
        <x:v>45383</x:v>
      </x:c>
      <x:c r="C66" s="10">
        <x:v>0.019672</x:v>
      </x:c>
      <x:c r="D66" s="10">
        <x:v>0.011182</x:v>
      </x:c>
      <x:c r="E66" s="10">
        <x:v>0.003019</x:v>
      </x:c>
      <x:c r="F66" s="10">
        <x:v>-0.001507</x:v>
      </x:c>
      <x:c r="G66" s="10">
        <x:v>-0.002736</x:v>
      </x:c>
      <x:c r="H66" s="11">
        <x:f>MMULT(C66:G66,Exposures)</x:f>
      </x:c>
    </x:row>
    <x:row r="67" spans="1:10">
      <x:c r="B67" s="9">
        <x:v>45384</x:v>
      </x:c>
      <x:c r="C67" s="10">
        <x:v>0.000665</x:v>
      </x:c>
      <x:c r="D67" s="10">
        <x:v>-0.002707</x:v>
      </x:c>
      <x:c r="E67" s="10">
        <x:v>-0.005442</x:v>
      </x:c>
      <x:c r="F67" s="10">
        <x:v>-0.001442</x:v>
      </x:c>
      <x:c r="G67" s="10">
        <x:v>0.00154</x:v>
      </x:c>
      <x:c r="H67" s="11">
        <x:f>MMULT(C67:G67,Exposures)</x:f>
      </x:c>
    </x:row>
    <x:row r="68" spans="1:10">
      <x:c r="B68" s="9">
        <x:v>45385</x:v>
      </x:c>
      <x:c r="C68" s="10">
        <x:v>0.000361</x:v>
      </x:c>
      <x:c r="D68" s="10">
        <x:v>-0.002305</x:v>
      </x:c>
      <x:c r="E68" s="10">
        <x:v>0.007837</x:v>
      </x:c>
      <x:c r="F68" s="10">
        <x:v>0.00538</x:v>
      </x:c>
      <x:c r="G68" s="10">
        <x:v>-0.001598</x:v>
      </x:c>
      <x:c r="H68" s="11">
        <x:f>MMULT(C68:G68,Exposures)</x:f>
      </x:c>
    </x:row>
    <x:row r="69" spans="1:10">
      <x:c r="B69" s="9">
        <x:v>45386</x:v>
      </x:c>
      <x:c r="C69" s="10">
        <x:v>-0.004733</x:v>
      </x:c>
      <x:c r="D69" s="10">
        <x:v>-0.014297</x:v>
      </x:c>
      <x:c r="E69" s="10">
        <x:v>0.000501</x:v>
      </x:c>
      <x:c r="F69" s="10">
        <x:v>-0.003145</x:v>
      </x:c>
      <x:c r="G69" s="10">
        <x:v>0.006688</x:v>
      </x:c>
      <x:c r="H69" s="11">
        <x:f>MMULT(C69:G69,Exposures)</x:f>
      </x:c>
    </x:row>
    <x:row r="70" spans="1:10">
      <x:c r="B70" s="9">
        <x:v>45387</x:v>
      </x:c>
      <x:c r="C70" s="10">
        <x:v>-0.013541</x:v>
      </x:c>
      <x:c r="D70" s="10">
        <x:v>0.001686</x:v>
      </x:c>
      <x:c r="E70" s="10">
        <x:v>0.00231</x:v>
      </x:c>
      <x:c r="F70" s="10">
        <x:v>-0.004951</x:v>
      </x:c>
      <x:c r="G70" s="10">
        <x:v>0.002895</x:v>
      </x:c>
      <x:c r="H70" s="11">
        <x:f>MMULT(C70:G70,Exposures)</x:f>
      </x:c>
    </x:row>
    <x:row r="71" spans="1:10">
      <x:c r="B71" s="9">
        <x:v>45390</x:v>
      </x:c>
      <x:c r="C71" s="10">
        <x:v>0.000245</x:v>
      </x:c>
      <x:c r="D71" s="10">
        <x:v>0.003627</x:v>
      </x:c>
      <x:c r="E71" s="10">
        <x:v>0.002805</x:v>
      </x:c>
      <x:c r="F71" s="10">
        <x:v>-0.002076</x:v>
      </x:c>
      <x:c r="G71" s="10">
        <x:v>0.003355</x:v>
      </x:c>
      <x:c r="H71" s="11">
        <x:f>MMULT(C71:G71,Exposures)</x:f>
      </x:c>
    </x:row>
    <x:row r="72" spans="1:10">
      <x:c r="B72" s="9">
        <x:v>45391</x:v>
      </x:c>
      <x:c r="C72" s="10">
        <x:v>-0.001356</x:v>
      </x:c>
      <x:c r="D72" s="10">
        <x:v>0.00368</x:v>
      </x:c>
      <x:c r="E72" s="10">
        <x:v>-0.014122</x:v>
      </x:c>
      <x:c r="F72" s="10">
        <x:v>-0.004785</x:v>
      </x:c>
      <x:c r="G72" s="10">
        <x:v>-0.003061</x:v>
      </x:c>
      <x:c r="H72" s="11">
        <x:f>MMULT(C72:G72,Exposures)</x:f>
      </x:c>
    </x:row>
    <x:row r="73" spans="1:10">
      <x:c r="B73" s="9">
        <x:v>45392</x:v>
      </x:c>
      <x:c r="C73" s="10">
        <x:v>-0.002251</x:v>
      </x:c>
      <x:c r="D73" s="10">
        <x:v>0.003336</x:v>
      </x:c>
      <x:c r="E73" s="10">
        <x:v>0.000757</x:v>
      </x:c>
      <x:c r="F73" s="10">
        <x:v>-0.000151</x:v>
      </x:c>
      <x:c r="G73" s="10">
        <x:v>-0.001796</x:v>
      </x:c>
      <x:c r="H73" s="11">
        <x:f>MMULT(C73:G73,Exposures)</x:f>
      </x:c>
    </x:row>
    <x:row r="74" spans="1:10">
      <x:c r="B74" s="9">
        <x:v>45393</x:v>
      </x:c>
      <x:c r="C74" s="10">
        <x:v>-0.001967</x:v>
      </x:c>
      <x:c r="D74" s="10">
        <x:v>0.00673</x:v>
      </x:c>
      <x:c r="E74" s="10">
        <x:v>-0.007326</x:v>
      </x:c>
      <x:c r="F74" s="10">
        <x:v>0.001033</x:v>
      </x:c>
      <x:c r="G74" s="10">
        <x:v>-0.001661</x:v>
      </x:c>
      <x:c r="H74" s="11">
        <x:f>MMULT(C74:G74,Exposures)</x:f>
      </x:c>
    </x:row>
    <x:row r="75" spans="1:10">
      <x:c r="B75" s="9">
        <x:v>45394</x:v>
      </x:c>
      <x:c r="C75" s="10">
        <x:v>0.026007</x:v>
      </x:c>
      <x:c r="D75" s="10">
        <x:v>-0.013347</x:v>
      </x:c>
      <x:c r="E75" s="10">
        <x:v>-0.017019</x:v>
      </x:c>
      <x:c r="F75" s="10">
        <x:v>-0.012415</x:v>
      </x:c>
      <x:c r="G75" s="10">
        <x:v>-0.009332</x:v>
      </x:c>
      <x:c r="H75" s="11">
        <x:f>MMULT(C75:G75,Exposures)</x:f>
      </x:c>
    </x:row>
    <x:row r="76" spans="1:10">
      <x:c r="B76" s="9">
        <x:v>45397</x:v>
      </x:c>
      <x:c r="C76" s="10">
        <x:v>0.006642</x:v>
      </x:c>
      <x:c r="D76" s="10">
        <x:v>0.012887</x:v>
      </x:c>
      <x:c r="E76" s="10">
        <x:v>-0.006576</x:v>
      </x:c>
      <x:c r="F76" s="10">
        <x:v>-0.000239</x:v>
      </x:c>
      <x:c r="G76" s="10">
        <x:v>0.003006</x:v>
      </x:c>
      <x:c r="H76" s="11">
        <x:f>MMULT(C76:G76,Exposures)</x:f>
      </x:c>
    </x:row>
    <x:row r="77" spans="1:10">
      <x:c r="B77" s="9">
        <x:v>45398</x:v>
      </x:c>
      <x:c r="C77" s="10">
        <x:v>-0.021399</x:v>
      </x:c>
      <x:c r="D77" s="10">
        <x:v>-0.007579</x:v>
      </x:c>
      <x:c r="E77" s="10">
        <x:v>0.003587</x:v>
      </x:c>
      <x:c r="F77" s="10">
        <x:v>0.001473</x:v>
      </x:c>
      <x:c r="G77" s="10">
        <x:v>-0.008449</x:v>
      </x:c>
      <x:c r="H77" s="11">
        <x:f>MMULT(C77:G77,Exposures)</x:f>
      </x:c>
    </x:row>
    <x:row r="78" spans="1:10">
      <x:c r="B78" s="9">
        <x:v>45399</x:v>
      </x:c>
      <x:c r="C78" s="10">
        <x:v>-0.015391</x:v>
      </x:c>
      <x:c r="D78" s="10">
        <x:v>-0.019808</x:v>
      </x:c>
      <x:c r="E78" s="10">
        <x:v>-0.00235</x:v>
      </x:c>
      <x:c r="F78" s="10">
        <x:v>-0.000955</x:v>
      </x:c>
      <x:c r="G78" s="10">
        <x:v>-0.01426</x:v>
      </x:c>
      <x:c r="H78" s="11">
        <x:f>MMULT(C78:G78,Exposures)</x:f>
      </x:c>
    </x:row>
    <x:row r="79" spans="1:10">
      <x:c r="B79" s="9">
        <x:v>45400</x:v>
      </x:c>
      <x:c r="C79" s="10">
        <x:v>-0.004257</x:v>
      </x:c>
      <x:c r="D79" s="10">
        <x:v>-0.008789</x:v>
      </x:c>
      <x:c r="E79" s="10">
        <x:v>0.005597</x:v>
      </x:c>
      <x:c r="F79" s="10">
        <x:v>0.002841</x:v>
      </x:c>
      <x:c r="G79" s="10">
        <x:v>0.002368</x:v>
      </x:c>
      <x:c r="H79" s="11">
        <x:f>MMULT(C79:G79,Exposures)</x:f>
      </x:c>
    </x:row>
    <x:row r="80" spans="1:10">
      <x:c r="B80" s="9">
        <x:v>45401</x:v>
      </x:c>
      <x:c r="C80" s="10">
        <x:v>0.009411</x:v>
      </x:c>
      <x:c r="D80" s="10">
        <x:v>0.010911</x:v>
      </x:c>
      <x:c r="E80" s="10">
        <x:v>-0.010591</x:v>
      </x:c>
      <x:c r="F80" s="10">
        <x:v>0.001159</x:v>
      </x:c>
      <x:c r="G80" s="10">
        <x:v>0.005451</x:v>
      </x:c>
      <x:c r="H80" s="11">
        <x:f>MMULT(C80:G80,Exposures)</x:f>
      </x:c>
    </x:row>
    <x:row r="81" spans="1:10">
      <x:c r="B81" s="9">
        <x:v>45404</x:v>
      </x:c>
      <x:c r="C81" s="10">
        <x:v>0.009923</x:v>
      </x:c>
      <x:c r="D81" s="10">
        <x:v>0.007443</x:v>
      </x:c>
      <x:c r="E81" s="10">
        <x:v>-0.004376</x:v>
      </x:c>
      <x:c r="F81" s="10">
        <x:v>-0.002156</x:v>
      </x:c>
      <x:c r="G81" s="10">
        <x:v>-0.001779</x:v>
      </x:c>
      <x:c r="H81" s="11">
        <x:f>MMULT(C81:G81,Exposures)</x:f>
      </x:c>
    </x:row>
    <x:row r="82" spans="1:10">
      <x:c r="B82" s="9">
        <x:v>45405</x:v>
      </x:c>
      <x:c r="C82" s="10">
        <x:v>-0.000665</x:v>
      </x:c>
      <x:c r="D82" s="10">
        <x:v>-0.001992</x:v>
      </x:c>
      <x:c r="E82" s="10">
        <x:v>0.006047</x:v>
      </x:c>
      <x:c r="F82" s="10">
        <x:v>-0.001457</x:v>
      </x:c>
      <x:c r="G82" s="10">
        <x:v>0.00332</x:v>
      </x:c>
      <x:c r="H82" s="11">
        <x:f>MMULT(C82:G82,Exposures)</x:f>
      </x:c>
    </x:row>
    <x:row r="83" spans="1:10">
      <x:c r="B83" s="9">
        <x:v>45406</x:v>
      </x:c>
      <x:c r="C83" s="10">
        <x:v>0.005895</x:v>
      </x:c>
      <x:c r="D83" s="10">
        <x:v>0.000672</x:v>
      </x:c>
      <x:c r="E83" s="10">
        <x:v>-0.001605</x:v>
      </x:c>
      <x:c r="F83" s="10">
        <x:v>-0.002683</x:v>
      </x:c>
      <x:c r="G83" s="10">
        <x:v>0.000234</x:v>
      </x:c>
      <x:c r="H83" s="11">
        <x:f>MMULT(C83:G83,Exposures)</x:f>
      </x:c>
    </x:row>
    <x:row r="84" spans="1:10">
      <x:c r="B84" s="9">
        <x:v>45407</x:v>
      </x:c>
      <x:c r="C84" s="10">
        <x:v>0.000414</x:v>
      </x:c>
      <x:c r="D84" s="10">
        <x:v>0.005855</x:v>
      </x:c>
      <x:c r="E84" s="10">
        <x:v>0.011993</x:v>
      </x:c>
      <x:c r="F84" s="10">
        <x:v>0.00424</x:v>
      </x:c>
      <x:c r="G84" s="10">
        <x:v>-0.003623</x:v>
      </x:c>
      <x:c r="H84" s="11">
        <x:f>MMULT(C84:G84,Exposures)</x:f>
      </x:c>
    </x:row>
    <x:row r="85" spans="1:10">
      <x:c r="B85" s="9">
        <x:v>45408</x:v>
      </x:c>
      <x:c r="C85" s="10">
        <x:v>0.012408</x:v>
      </x:c>
      <x:c r="D85" s="10">
        <x:v>0.01148</x:v>
      </x:c>
      <x:c r="E85" s="10">
        <x:v>-0.008372</x:v>
      </x:c>
      <x:c r="F85" s="10">
        <x:v>-0.006309</x:v>
      </x:c>
      <x:c r="G85" s="10">
        <x:v>0.002675</x:v>
      </x:c>
      <x:c r="H85" s="11">
        <x:f>MMULT(C85:G85,Exposures)</x:f>
      </x:c>
    </x:row>
    <x:row r="86" spans="1:10">
      <x:c r="B86" s="9">
        <x:v>45411</x:v>
      </x:c>
      <x:c r="C86" s="10">
        <x:v>-0.003332</x:v>
      </x:c>
      <x:c r="D86" s="10">
        <x:v>-0.004682</x:v>
      </x:c>
      <x:c r="E86" s="10">
        <x:v>-0.011512</x:v>
      </x:c>
      <x:c r="F86" s="10">
        <x:v>0.001872</x:v>
      </x:c>
      <x:c r="G86" s="10">
        <x:v>0.004584</x:v>
      </x:c>
      <x:c r="H86" s="11">
        <x:f>MMULT(C86:G86,Exposures)</x:f>
      </x:c>
    </x:row>
    <x:row r="87" spans="1:10">
      <x:c r="B87" s="9">
        <x:v>45412</x:v>
      </x:c>
      <x:c r="C87" s="10">
        <x:v>-0.023351</x:v>
      </x:c>
      <x:c r="D87" s="10">
        <x:v>-0.015156</x:v>
      </x:c>
      <x:c r="E87" s="10">
        <x:v>0.006814</x:v>
      </x:c>
      <x:c r="F87" s="10">
        <x:v>-0.002083</x:v>
      </x:c>
      <x:c r="G87" s="10">
        <x:v>0.004517</x:v>
      </x:c>
      <x:c r="H87" s="11">
        <x:f>MMULT(C87:G87,Exposures)</x:f>
      </x:c>
    </x:row>
    <x:row r="88" spans="1:10">
      <x:c r="B88" s="9">
        <x:v>45413</x:v>
      </x:c>
      <x:c r="C88" s="10">
        <x:v>-0.009036</x:v>
      </x:c>
      <x:c r="D88" s="10">
        <x:v>-0.001264</x:v>
      </x:c>
      <x:c r="E88" s="10">
        <x:v>-0.017728</x:v>
      </x:c>
      <x:c r="F88" s="10">
        <x:v>0.002639</x:v>
      </x:c>
      <x:c r="G88" s="10">
        <x:v>-0.000393</x:v>
      </x:c>
      <x:c r="H88" s="11">
        <x:f>MMULT(C88:G88,Exposures)</x:f>
      </x:c>
    </x:row>
    <x:row r="89" spans="1:10">
      <x:c r="B89" s="9">
        <x:v>45414</x:v>
      </x:c>
      <x:c r="C89" s="10">
        <x:v>-0.002659</x:v>
      </x:c>
      <x:c r="D89" s="10">
        <x:v>-0.006979</x:v>
      </x:c>
      <x:c r="E89" s="10">
        <x:v>-0.011379</x:v>
      </x:c>
      <x:c r="F89" s="10">
        <x:v>0.002126</x:v>
      </x:c>
      <x:c r="G89" s="10">
        <x:v>0.002882</x:v>
      </x:c>
      <x:c r="H89" s="11">
        <x:f>MMULT(C89:G89,Exposures)</x:f>
      </x:c>
    </x:row>
    <x:row r="90" spans="1:10">
      <x:c r="B90" s="9">
        <x:v>45415</x:v>
      </x:c>
      <x:c r="C90" s="10">
        <x:v>0.003169</x:v>
      </x:c>
      <x:c r="D90" s="10">
        <x:v>-0.005386</x:v>
      </x:c>
      <x:c r="E90" s="10">
        <x:v>-0.01318</x:v>
      </x:c>
      <x:c r="F90" s="10">
        <x:v>-0.001627</x:v>
      </x:c>
      <x:c r="G90" s="10">
        <x:v>0.000312</x:v>
      </x:c>
      <x:c r="H90" s="11">
        <x:f>MMULT(C90:G90,Exposures)</x:f>
      </x:c>
    </x:row>
    <x:row r="91" spans="1:10">
      <x:c r="B91" s="9">
        <x:v>45418</x:v>
      </x:c>
      <x:c r="C91" s="10">
        <x:v>-0.003288</x:v>
      </x:c>
      <x:c r="D91" s="10">
        <x:v>0.002163</x:v>
      </x:c>
      <x:c r="E91" s="10">
        <x:v>-0.001508</x:v>
      </x:c>
      <x:c r="F91" s="10">
        <x:v>0.002283</x:v>
      </x:c>
      <x:c r="G91" s="10">
        <x:v>-0.000309</x:v>
      </x:c>
      <x:c r="H91" s="11">
        <x:f>MMULT(C91:G91,Exposures)</x:f>
      </x:c>
    </x:row>
    <x:row r="92" spans="1:10">
      <x:c r="B92" s="9">
        <x:v>45419</x:v>
      </x:c>
      <x:c r="C92" s="10">
        <x:v>0.010712</x:v>
      </x:c>
      <x:c r="D92" s="10">
        <x:v>0.000316</x:v>
      </x:c>
      <x:c r="E92" s="10">
        <x:v>0.007589</x:v>
      </x:c>
      <x:c r="F92" s="10">
        <x:v>0.001409</x:v>
      </x:c>
      <x:c r="G92" s="10">
        <x:v>0.000476</x:v>
      </x:c>
      <x:c r="H92" s="11">
        <x:f>MMULT(C92:G92,Exposures)</x:f>
      </x:c>
    </x:row>
    <x:row r="93" spans="1:10">
      <x:c r="B93" s="9">
        <x:v>45420</x:v>
      </x:c>
      <x:c r="C93" s="10">
        <x:v>-0.010025</x:v>
      </x:c>
      <x:c r="D93" s="10">
        <x:v>-0.005087</x:v>
      </x:c>
      <x:c r="E93" s="10">
        <x:v>0.002202</x:v>
      </x:c>
      <x:c r="F93" s="10">
        <x:v>-0.002469</x:v>
      </x:c>
      <x:c r="G93" s="10">
        <x:v>0.00069</x:v>
      </x:c>
      <x:c r="H93" s="11">
        <x:f>MMULT(C93:G93,Exposures)</x:f>
      </x:c>
    </x:row>
    <x:row r="94" spans="1:10">
      <x:c r="B94" s="9">
        <x:v>45421</x:v>
      </x:c>
      <x:c r="C94" s="10">
        <x:v>0.015173</x:v>
      </x:c>
      <x:c r="D94" s="10">
        <x:v>0.013104</x:v>
      </x:c>
      <x:c r="E94" s="10">
        <x:v>8.7E-05</x:v>
      </x:c>
      <x:c r="F94" s="10">
        <x:v>-0.002564</x:v>
      </x:c>
      <x:c r="G94" s="10">
        <x:v>0.009336</x:v>
      </x:c>
      <x:c r="H94" s="11">
        <x:f>MMULT(C94:G94,Exposures)</x:f>
      </x:c>
    </x:row>
    <x:row r="95" spans="1:10">
      <x:c r="B95" s="9">
        <x:v>45422</x:v>
      </x:c>
      <x:c r="C95" s="10">
        <x:v>-0.003753</x:v>
      </x:c>
      <x:c r="D95" s="10">
        <x:v>-0.005026</x:v>
      </x:c>
      <x:c r="E95" s="10">
        <x:v>-0.000342</x:v>
      </x:c>
      <x:c r="F95" s="10">
        <x:v>0.001794</x:v>
      </x:c>
      <x:c r="G95" s="10">
        <x:v>0.001139</x:v>
      </x:c>
      <x:c r="H95" s="11">
        <x:f>MMULT(C95:G95,Exposures)</x:f>
      </x:c>
    </x:row>
    <x:row r="96" spans="1:10">
      <x:c r="B96" s="9">
        <x:v>45425</x:v>
      </x:c>
      <x:c r="C96" s="10">
        <x:v>0.005577</x:v>
      </x:c>
      <x:c r="D96" s="10">
        <x:v>0.002019</x:v>
      </x:c>
      <x:c r="E96" s="10">
        <x:v>-0.000477</x:v>
      </x:c>
      <x:c r="F96" s="10">
        <x:v>-0.002069</x:v>
      </x:c>
      <x:c r="G96" s="10">
        <x:v>1E-06</x:v>
      </x:c>
      <x:c r="H96" s="11">
        <x:f>MMULT(C96:G96,Exposures)</x:f>
      </x:c>
    </x:row>
    <x:row r="97" spans="1:10">
      <x:c r="B97" s="9">
        <x:v>45426</x:v>
      </x:c>
      <x:c r="C97" s="10">
        <x:v>-0.001946</x:v>
      </x:c>
      <x:c r="D97" s="10">
        <x:v>-0.004659</x:v>
      </x:c>
      <x:c r="E97" s="10">
        <x:v>0.005121</x:v>
      </x:c>
      <x:c r="F97" s="10">
        <x:v>0.001088</x:v>
      </x:c>
      <x:c r="G97" s="10">
        <x:v>0.006902</x:v>
      </x:c>
      <x:c r="H97" s="11">
        <x:f>MMULT(C97:G97,Exposures)</x:f>
      </x:c>
    </x:row>
    <x:row r="98" spans="1:10">
      <x:c r="B98" s="9">
        <x:v>45427</x:v>
      </x:c>
      <x:c r="C98" s="10">
        <x:v>0.015796</x:v>
      </x:c>
      <x:c r="D98" s="10">
        <x:v>0.008095</x:v>
      </x:c>
      <x:c r="E98" s="10">
        <x:v>0.019101</x:v>
      </x:c>
      <x:c r="F98" s="10">
        <x:v>-0.000354</x:v>
      </x:c>
      <x:c r="G98" s="10">
        <x:v>-0.001699</x:v>
      </x:c>
      <x:c r="H98" s="11">
        <x:f>MMULT(C98:G98,Exposures)</x:f>
      </x:c>
    </x:row>
    <x:row r="99" spans="1:10">
      <x:c r="B99" s="9">
        <x:v>45428</x:v>
      </x:c>
      <x:c r="C99" s="10">
        <x:v>-0.011976</x:v>
      </x:c>
      <x:c r="D99" s="10">
        <x:v>-0.009427</x:v>
      </x:c>
      <x:c r="E99" s="10">
        <x:v>-0.007662</x:v>
      </x:c>
      <x:c r="F99" s="10">
        <x:v>0.001005</x:v>
      </x:c>
      <x:c r="G99" s="10">
        <x:v>0.001503</x:v>
      </x:c>
      <x:c r="H99" s="11">
        <x:f>MMULT(C99:G99,Exposures)</x:f>
      </x:c>
    </x:row>
    <x:row r="100" spans="1:10">
      <x:c r="B100" s="9">
        <x:v>45429</x:v>
      </x:c>
      <x:c r="C100" s="10">
        <x:v>0.007375</x:v>
      </x:c>
      <x:c r="D100" s="10">
        <x:v>0.00499</x:v>
      </x:c>
      <x:c r="E100" s="10">
        <x:v>0.002575</x:v>
      </x:c>
      <x:c r="F100" s="10">
        <x:v>-0.000944</x:v>
      </x:c>
      <x:c r="G100" s="10">
        <x:v>0.003804</x:v>
      </x:c>
      <x:c r="H100" s="11">
        <x:f>MMULT(C100:G100,Exposures)</x:f>
      </x:c>
    </x:row>
    <x:row r="101" spans="1:10">
      <x:c r="B101" s="9">
        <x:v>45432</x:v>
      </x:c>
      <x:c r="C101" s="10">
        <x:v>-0.022327</x:v>
      </x:c>
      <x:c r="D101" s="10">
        <x:v>-0.031913</x:v>
      </x:c>
      <x:c r="E101" s="10">
        <x:v>0.007436</x:v>
      </x:c>
      <x:c r="F101" s="10">
        <x:v>0.003183</x:v>
      </x:c>
      <x:c r="G101" s="10">
        <x:v>0.003033</x:v>
      </x:c>
      <x:c r="H101" s="11">
        <x:f>MMULT(C101:G101,Exposures)</x:f>
      </x:c>
    </x:row>
    <x:row r="102" spans="1:10">
      <x:c r="B102" s="9">
        <x:v>45433</x:v>
      </x:c>
      <x:c r="C102" s="10">
        <x:v>0.016182</x:v>
      </x:c>
      <x:c r="D102" s="10">
        <x:v>0.003212</x:v>
      </x:c>
      <x:c r="E102" s="10">
        <x:v>-0.001114</x:v>
      </x:c>
      <x:c r="F102" s="10">
        <x:v>-0.000808</x:v>
      </x:c>
      <x:c r="G102" s="10">
        <x:v>0.005965</x:v>
      </x:c>
      <x:c r="H102" s="11">
        <x:f>MMULT(C102:G102,Exposures)</x:f>
      </x:c>
    </x:row>
    <x:row r="103" spans="1:10">
      <x:c r="B103" s="9">
        <x:v>45434</x:v>
      </x:c>
      <x:c r="C103" s="10">
        <x:v>-0.010343</x:v>
      </x:c>
      <x:c r="D103" s="10">
        <x:v>-0.01133</x:v>
      </x:c>
      <x:c r="E103" s="10">
        <x:v>0.008998</x:v>
      </x:c>
      <x:c r="F103" s="10">
        <x:v>0.000968</x:v>
      </x:c>
      <x:c r="G103" s="10">
        <x:v>0.000731</x:v>
      </x:c>
      <x:c r="H103" s="11">
        <x:f>MMULT(C103:G103,Exposures)</x:f>
      </x:c>
    </x:row>
    <x:row r="104" spans="1:10">
      <x:c r="B104" s="9">
        <x:v>45435</x:v>
      </x:c>
      <x:c r="C104" s="10">
        <x:v>-0.007003</x:v>
      </x:c>
      <x:c r="D104" s="10">
        <x:v>-0.001534</x:v>
      </x:c>
      <x:c r="E104" s="10">
        <x:v>-0.008678</x:v>
      </x:c>
      <x:c r="F104" s="10">
        <x:v>-0.005795</x:v>
      </x:c>
      <x:c r="G104" s="10">
        <x:v>0.001526</x:v>
      </x:c>
      <x:c r="H104" s="11">
        <x:f>MMULT(C104:G104,Exposures)</x:f>
      </x:c>
    </x:row>
    <x:row r="105" spans="1:10">
      <x:c r="B105" s="9">
        <x:v>45436</x:v>
      </x:c>
      <x:c r="C105" s="10">
        <x:v>0.003888</x:v>
      </x:c>
      <x:c r="D105" s="10">
        <x:v>0.007768</x:v>
      </x:c>
      <x:c r="E105" s="10">
        <x:v>-0.016373</x:v>
      </x:c>
      <x:c r="F105" s="10">
        <x:v>-0.00227</x:v>
      </x:c>
      <x:c r="G105" s="10">
        <x:v>-0.006352</x:v>
      </x:c>
      <x:c r="H105" s="11">
        <x:f>MMULT(C105:G105,Exposures)</x:f>
      </x:c>
    </x:row>
    <x:row r="106" spans="1:10">
      <x:c r="B106" s="9">
        <x:v>45439</x:v>
      </x:c>
      <x:c r="C106" s="10">
        <x:v>-0.001093</x:v>
      </x:c>
      <x:c r="D106" s="10">
        <x:v>0.007325</x:v>
      </x:c>
      <x:c r="E106" s="10">
        <x:v>-0.000976</x:v>
      </x:c>
      <x:c r="F106" s="10">
        <x:v>-0.001939</x:v>
      </x:c>
      <x:c r="G106" s="10">
        <x:v>0.000225</x:v>
      </x:c>
      <x:c r="H106" s="11">
        <x:f>MMULT(C106:G106,Exposures)</x:f>
      </x:c>
    </x:row>
    <x:row r="107" spans="1:10">
      <x:c r="B107" s="9">
        <x:v>45440</x:v>
      </x:c>
      <x:c r="C107" s="10">
        <x:v>0.000366</x:v>
      </x:c>
      <x:c r="D107" s="10">
        <x:v>0.01117</x:v>
      </x:c>
      <x:c r="E107" s="10">
        <x:v>0.010782</x:v>
      </x:c>
      <x:c r="F107" s="10">
        <x:v>8.9E-05</x:v>
      </x:c>
      <x:c r="G107" s="10">
        <x:v>-0.000325</x:v>
      </x:c>
      <x:c r="H107" s="11">
        <x:f>MMULT(C107:G107,Exposures)</x:f>
      </x:c>
    </x:row>
    <x:row r="108" spans="1:10">
      <x:c r="B108" s="9">
        <x:v>45441</x:v>
      </x:c>
      <x:c r="C108" s="10">
        <x:v>-0.002226</x:v>
      </x:c>
      <x:c r="D108" s="10">
        <x:v>-0.00527</x:v>
      </x:c>
      <x:c r="E108" s="10">
        <x:v>-0.000408</x:v>
      </x:c>
      <x:c r="F108" s="10">
        <x:v>-0.001284</x:v>
      </x:c>
      <x:c r="G108" s="10">
        <x:v>0.00151</x:v>
      </x:c>
      <x:c r="H108" s="11">
        <x:f>MMULT(C108:G108,Exposures)</x:f>
      </x:c>
    </x:row>
    <x:row r="109" spans="1:10">
      <x:c r="B109" s="9">
        <x:v>45442</x:v>
      </x:c>
      <x:c r="C109" s="10">
        <x:v>3.2E-05</x:v>
      </x:c>
      <x:c r="D109" s="10">
        <x:v>-0.000999</x:v>
      </x:c>
      <x:c r="E109" s="10">
        <x:v>0.001887</x:v>
      </x:c>
      <x:c r="F109" s="10">
        <x:v>-0.001435</x:v>
      </x:c>
      <x:c r="G109" s="10">
        <x:v>0.000773</x:v>
      </x:c>
      <x:c r="H109" s="11">
        <x:f>MMULT(C109:G109,Exposures)</x:f>
      </x:c>
    </x:row>
    <x:row r="110" spans="1:10">
      <x:c r="B110" s="9">
        <x:v>45443</x:v>
      </x:c>
      <x:c r="C110" s="10">
        <x:v>0.000554</x:v>
      </x:c>
      <x:c r="D110" s="10">
        <x:v>0.000545</x:v>
      </x:c>
      <x:c r="E110" s="10">
        <x:v>0.007536</x:v>
      </x:c>
      <x:c r="F110" s="10">
        <x:v>0.002809</x:v>
      </x:c>
      <x:c r="G110" s="10">
        <x:v>0.0007</x:v>
      </x:c>
      <x:c r="H110" s="11">
        <x:f>MMULT(C110:G110,Exposures)</x:f>
      </x:c>
    </x:row>
    <x:row r="111" spans="1:10">
      <x:c r="B111" s="9">
        <x:v>45446</x:v>
      </x:c>
      <x:c r="C111" s="10">
        <x:v>0.005452</x:v>
      </x:c>
      <x:c r="D111" s="10">
        <x:v>0.009142</x:v>
      </x:c>
      <x:c r="E111" s="10">
        <x:v>0.005741</x:v>
      </x:c>
      <x:c r="F111" s="10">
        <x:v>0.000879</x:v>
      </x:c>
      <x:c r="G111" s="10">
        <x:v>0.002715</x:v>
      </x:c>
      <x:c r="H111" s="11">
        <x:f>MMULT(C111:G111,Exposures)</x:f>
      </x:c>
    </x:row>
    <x:row r="112" spans="1:10">
      <x:c r="B112" s="9">
        <x:v>45447</x:v>
      </x:c>
      <x:c r="C112" s="10">
        <x:v>-0.014927</x:v>
      </x:c>
      <x:c r="D112" s="10">
        <x:v>-0.012536</x:v>
      </x:c>
      <x:c r="E112" s="10">
        <x:v>0.013776</x:v>
      </x:c>
      <x:c r="F112" s="10">
        <x:v>0.003671</x:v>
      </x:c>
      <x:c r="G112" s="10">
        <x:v>0.00255</x:v>
      </x:c>
      <x:c r="H112" s="11">
        <x:f>MMULT(C112:G112,Exposures)</x:f>
      </x:c>
    </x:row>
    <x:row r="113" spans="1:10">
      <x:c r="B113" s="9">
        <x:v>45448</x:v>
      </x:c>
      <x:c r="C113" s="10">
        <x:v>-0.003952</x:v>
      </x:c>
      <x:c r="D113" s="10">
        <x:v>0.002916</x:v>
      </x:c>
      <x:c r="E113" s="10">
        <x:v>0.005131</x:v>
      </x:c>
      <x:c r="F113" s="10">
        <x:v>0.000585</x:v>
      </x:c>
      <x:c r="G113" s="10">
        <x:v>-0.002325</x:v>
      </x:c>
      <x:c r="H113" s="11">
        <x:f>MMULT(C113:G113,Exposures)</x:f>
      </x:c>
    </x:row>
    <x:row r="114" spans="1:10">
      <x:c r="B114" s="9">
        <x:v>45449</x:v>
      </x:c>
      <x:c r="C114" s="10">
        <x:v>-0.002689</x:v>
      </x:c>
      <x:c r="D114" s="10">
        <x:v>-0.005997</x:v>
      </x:c>
      <x:c r="E114" s="10">
        <x:v>0.001211</x:v>
      </x:c>
      <x:c r="F114" s="10">
        <x:v>0.002402</x:v>
      </x:c>
      <x:c r="G114" s="10">
        <x:v>-0.004371</x:v>
      </x:c>
      <x:c r="H114" s="11">
        <x:f>MMULT(C114:G114,Exposures)</x:f>
      </x:c>
    </x:row>
    <x:row r="115" spans="1:10">
      <x:c r="B115" s="9">
        <x:v>45450</x:v>
      </x:c>
      <x:c r="C115" s="10">
        <x:v>0.017795</x:v>
      </x:c>
      <x:c r="D115" s="10">
        <x:v>0.009578</x:v>
      </x:c>
      <x:c r="E115" s="10">
        <x:v>-0.004196</x:v>
      </x:c>
      <x:c r="F115" s="10">
        <x:v>-0.002335</x:v>
      </x:c>
      <x:c r="G115" s="10">
        <x:v>-0.006173</x:v>
      </x:c>
      <x:c r="H115" s="11">
        <x:f>MMULT(C115:G115,Exposures)</x:f>
      </x:c>
    </x:row>
    <x:row r="116" spans="1:10">
      <x:c r="B116" s="9">
        <x:v>45453</x:v>
      </x:c>
      <x:c r="C116" s="10">
        <x:v>-0.016162</x:v>
      </x:c>
      <x:c r="D116" s="10">
        <x:v>-0.004017</x:v>
      </x:c>
      <x:c r="E116" s="10">
        <x:v>0.002676</x:v>
      </x:c>
      <x:c r="F116" s="10">
        <x:v>-0.002377</x:v>
      </x:c>
      <x:c r="G116" s="10">
        <x:v>-0.000828</x:v>
      </x:c>
      <x:c r="H116" s="11">
        <x:f>MMULT(C116:G116,Exposures)</x:f>
      </x:c>
    </x:row>
    <x:row r="117" spans="1:10">
      <x:c r="B117" s="9">
        <x:v>45454</x:v>
      </x:c>
      <x:c r="C117" s="10">
        <x:v>0.00286</x:v>
      </x:c>
      <x:c r="D117" s="10">
        <x:v>0.010039</x:v>
      </x:c>
      <x:c r="E117" s="10">
        <x:v>0.010907</x:v>
      </x:c>
      <x:c r="F117" s="10">
        <x:v>0.006795</x:v>
      </x:c>
      <x:c r="G117" s="10">
        <x:v>0.011822</x:v>
      </x:c>
      <x:c r="H117" s="11">
        <x:f>MMULT(C117:G117,Exposures)</x:f>
      </x:c>
    </x:row>
    <x:row r="118" spans="1:10">
      <x:c r="B118" s="9">
        <x:v>45455</x:v>
      </x:c>
      <x:c r="C118" s="10">
        <x:v>-0.009384</x:v>
      </x:c>
      <x:c r="D118" s="10">
        <x:v>-0.007192</x:v>
      </x:c>
      <x:c r="E118" s="10">
        <x:v>-0.001887</x:v>
      </x:c>
      <x:c r="F118" s="10">
        <x:v>0.000375</x:v>
      </x:c>
      <x:c r="G118" s="10">
        <x:v>-0.001529</x:v>
      </x:c>
      <x:c r="H118" s="11">
        <x:f>MMULT(C118:G118,Exposures)</x:f>
      </x:c>
    </x:row>
    <x:row r="119" spans="1:10">
      <x:c r="B119" s="9">
        <x:v>45456</x:v>
      </x:c>
      <x:c r="C119" s="10">
        <x:v>-0.010168</x:v>
      </x:c>
      <x:c r="D119" s="10">
        <x:v>-0.011528</x:v>
      </x:c>
      <x:c r="E119" s="10">
        <x:v>-0.014944</x:v>
      </x:c>
      <x:c r="F119" s="10">
        <x:v>0.000846</x:v>
      </x:c>
      <x:c r="G119" s="10">
        <x:v>-0.001914</x:v>
      </x:c>
      <x:c r="H119" s="11">
        <x:f>MMULT(C119:G119,Exposures)</x:f>
      </x:c>
    </x:row>
    <x:row r="120" spans="1:10">
      <x:c r="B120" s="9">
        <x:v>45457</x:v>
      </x:c>
      <x:c r="C120" s="10">
        <x:v>6.5E-05</x:v>
      </x:c>
      <x:c r="D120" s="10">
        <x:v>-0.00278</x:v>
      </x:c>
      <x:c r="E120" s="10">
        <x:v>0.006042</x:v>
      </x:c>
      <x:c r="F120" s="10">
        <x:v>-0.00455</x:v>
      </x:c>
      <x:c r="G120" s="10">
        <x:v>0.001462</x:v>
      </x:c>
      <x:c r="H120" s="11">
        <x:f>MMULT(C120:G120,Exposures)</x:f>
      </x:c>
    </x:row>
    <x:row r="121" spans="1:10">
      <x:c r="B121" s="9">
        <x:v>45460</x:v>
      </x:c>
      <x:c r="C121" s="10">
        <x:v>0.023171</x:v>
      </x:c>
      <x:c r="D121" s="10">
        <x:v>0.022344</x:v>
      </x:c>
      <x:c r="E121" s="10">
        <x:v>0.012897</x:v>
      </x:c>
      <x:c r="F121" s="10">
        <x:v>0.007053</x:v>
      </x:c>
      <x:c r="G121" s="10">
        <x:v>0.003138</x:v>
      </x:c>
      <x:c r="H121" s="11">
        <x:f>MMULT(C121:G121,Exposures)</x:f>
      </x:c>
    </x:row>
    <x:row r="122" spans="1:10">
      <x:c r="B122" s="9">
        <x:v>45461</x:v>
      </x:c>
      <x:c r="C122" s="10">
        <x:v>-0.004127</x:v>
      </x:c>
      <x:c r="D122" s="10">
        <x:v>0.001423</x:v>
      </x:c>
      <x:c r="E122" s="10">
        <x:v>-0.009674</x:v>
      </x:c>
      <x:c r="F122" s="10">
        <x:v>0.008086</x:v>
      </x:c>
      <x:c r="G122" s="10">
        <x:v>-0.005651</x:v>
      </x:c>
      <x:c r="H122" s="11">
        <x:f>MMULT(C122:G122,Exposures)</x:f>
      </x:c>
    </x:row>
    <x:row r="123" spans="1:10">
      <x:c r="B123" s="9">
        <x:v>45462</x:v>
      </x:c>
      <x:c r="C123" s="10">
        <x:v>-0.009193</x:v>
      </x:c>
      <x:c r="D123" s="10">
        <x:v>-0.006409</x:v>
      </x:c>
      <x:c r="E123" s="10">
        <x:v>-0.010424</x:v>
      </x:c>
      <x:c r="F123" s="10">
        <x:v>0.00383</x:v>
      </x:c>
      <x:c r="G123" s="10">
        <x:v>-0.000458</x:v>
      </x:c>
      <x:c r="H123" s="11">
        <x:f>MMULT(C123:G123,Exposures)</x:f>
      </x:c>
    </x:row>
    <x:row r="124" spans="1:10">
      <x:c r="B124" s="9">
        <x:v>45463</x:v>
      </x:c>
      <x:c r="C124" s="10">
        <x:v>-0.004721</x:v>
      </x:c>
      <x:c r="D124" s="10">
        <x:v>0.00089</x:v>
      </x:c>
      <x:c r="E124" s="10">
        <x:v>-0.001146</x:v>
      </x:c>
      <x:c r="F124" s="10">
        <x:v>0.000369</x:v>
      </x:c>
      <x:c r="G124" s="10">
        <x:v>0.003535</x:v>
      </x:c>
      <x:c r="H124" s="11">
        <x:f>MMULT(C124:G124,Exposures)</x:f>
      </x:c>
    </x:row>
    <x:row r="125" spans="1:10">
      <x:c r="B125" s="9">
        <x:v>45464</x:v>
      </x:c>
      <x:c r="C125" s="10">
        <x:v>-0.00969</x:v>
      </x:c>
      <x:c r="D125" s="10">
        <x:v>0.003038</x:v>
      </x:c>
      <x:c r="E125" s="10">
        <x:v>0.006479</x:v>
      </x:c>
      <x:c r="F125" s="10">
        <x:v>-0.000551</x:v>
      </x:c>
      <x:c r="G125" s="10">
        <x:v>0.00135</x:v>
      </x:c>
      <x:c r="H125" s="11">
        <x:f>MMULT(C125:G125,Exposures)</x:f>
      </x:c>
    </x:row>
    <x:row r="126" spans="1:10">
      <x:c r="B126" s="9">
        <x:v>45467</x:v>
      </x:c>
      <x:c r="C126" s="10">
        <x:v>-0.005432</x:v>
      </x:c>
      <x:c r="D126" s="10">
        <x:v>-0.014082</x:v>
      </x:c>
      <x:c r="E126" s="10">
        <x:v>0.000855</x:v>
      </x:c>
      <x:c r="F126" s="10">
        <x:v>0.001547</x:v>
      </x:c>
      <x:c r="G126" s="10">
        <x:v>-0.001789</x:v>
      </x:c>
      <x:c r="H126" s="11">
        <x:f>MMULT(C126:G126,Exposures)</x:f>
      </x:c>
    </x:row>
    <x:row r="127" spans="1:10">
      <x:c r="B127" s="9">
        <x:v>45468</x:v>
      </x:c>
      <x:c r="C127" s="10">
        <x:v>-0.013799</x:v>
      </x:c>
      <x:c r="D127" s="10">
        <x:v>-0.009545</x:v>
      </x:c>
      <x:c r="E127" s="10">
        <x:v>0.00551</x:v>
      </x:c>
      <x:c r="F127" s="10">
        <x:v>0.002612</x:v>
      </x:c>
      <x:c r="G127" s="10">
        <x:v>-0.00603</x:v>
      </x:c>
      <x:c r="H127" s="11">
        <x:f>MMULT(C127:G127,Exposures)</x:f>
      </x:c>
    </x:row>
    <x:row r="128" spans="1:10">
      <x:c r="B128" s="9">
        <x:v>45469</x:v>
      </x:c>
      <x:c r="C128" s="10">
        <x:v>-0.008214</x:v>
      </x:c>
      <x:c r="D128" s="10">
        <x:v>-0.001343</x:v>
      </x:c>
      <x:c r="E128" s="10">
        <x:v>0.011931</x:v>
      </x:c>
      <x:c r="F128" s="10">
        <x:v>0.004799</x:v>
      </x:c>
      <x:c r="G128" s="10">
        <x:v>0.000933</x:v>
      </x:c>
      <x:c r="H128" s="11">
        <x:f>MMULT(C128:G128,Exposures)</x:f>
      </x:c>
    </x:row>
    <x:row r="129" spans="1:10">
      <x:c r="B129" s="9">
        <x:v>45470</x:v>
      </x:c>
      <x:c r="C129" s="10">
        <x:v>-0.004811</x:v>
      </x:c>
      <x:c r="D129" s="10">
        <x:v>-0.007735</x:v>
      </x:c>
      <x:c r="E129" s="10">
        <x:v>-0.008748</x:v>
      </x:c>
      <x:c r="F129" s="10">
        <x:v>0.001298</x:v>
      </x:c>
      <x:c r="G129" s="10">
        <x:v>-0.005422</x:v>
      </x:c>
      <x:c r="H129" s="11">
        <x:f>MMULT(C129:G129,Exposures)</x:f>
      </x:c>
    </x:row>
    <x:row r="130" spans="1:10">
      <x:c r="B130" s="9">
        <x:v>45471</x:v>
      </x:c>
      <x:c r="C130" s="10">
        <x:v>0.007925</x:v>
      </x:c>
      <x:c r="D130" s="10">
        <x:v>0.008192</x:v>
      </x:c>
      <x:c r="E130" s="10">
        <x:v>3.3E-05</x:v>
      </x:c>
      <x:c r="F130" s="10">
        <x:v>-0.001983</x:v>
      </x:c>
      <x:c r="G130" s="10">
        <x:v>-0.002368</x:v>
      </x:c>
      <x:c r="H130" s="11">
        <x:f>MMULT(C130:G130,Exposures)</x:f>
      </x:c>
    </x:row>
    <x:row r="131" spans="1:10">
      <x:c r="B131" s="9">
        <x:v>45474</x:v>
      </x:c>
      <x:c r="C131" s="10">
        <x:v>-0.013378</x:v>
      </x:c>
      <x:c r="D131" s="10">
        <x:v>-0.009408</x:v>
      </x:c>
      <x:c r="E131" s="10">
        <x:v>0.00269</x:v>
      </x:c>
      <x:c r="F131" s="10">
        <x:v>-0.001165</x:v>
      </x:c>
      <x:c r="G131" s="10">
        <x:v>-2.1E-05</x:v>
      </x:c>
      <x:c r="H131" s="11">
        <x:f>MMULT(C131:G131,Exposures)</x:f>
      </x:c>
    </x:row>
    <x:row r="132" spans="1:10">
      <x:c r="B132" s="9">
        <x:v>45475</x:v>
      </x:c>
      <x:c r="C132" s="10">
        <x:v>-0.011802</x:v>
      </x:c>
      <x:c r="D132" s="10">
        <x:v>-0.009026</x:v>
      </x:c>
      <x:c r="E132" s="10">
        <x:v>-0.004673</x:v>
      </x:c>
      <x:c r="F132" s="10">
        <x:v>0.002603</x:v>
      </x:c>
      <x:c r="G132" s="10">
        <x:v>-0.00123</x:v>
      </x:c>
      <x:c r="H132" s="11">
        <x:f>MMULT(C132:G132,Exposures)</x:f>
      </x:c>
    </x:row>
    <x:row r="133" spans="1:10">
      <x:c r="B133" s="9">
        <x:v>45476</x:v>
      </x:c>
      <x:c r="C133" s="10">
        <x:v>-0.0219</x:v>
      </x:c>
      <x:c r="D133" s="10">
        <x:v>-0.010202</x:v>
      </x:c>
      <x:c r="E133" s="10">
        <x:v>0.00098</x:v>
      </x:c>
      <x:c r="F133" s="10">
        <x:v>-0.00403</x:v>
      </x:c>
      <x:c r="G133" s="10">
        <x:v>0.002575</x:v>
      </x:c>
      <x:c r="H133" s="11">
        <x:f>MMULT(C133:G133,Exposures)</x:f>
      </x:c>
    </x:row>
    <x:row r="134" spans="1:10">
      <x:c r="B134" s="9">
        <x:v>45477</x:v>
      </x:c>
      <x:c r="C134" s="10">
        <x:v>0.007057</x:v>
      </x:c>
      <x:c r="D134" s="10">
        <x:v>-0.0024</x:v>
      </x:c>
      <x:c r="E134" s="10">
        <x:v>2.4E-05</x:v>
      </x:c>
      <x:c r="F134" s="10">
        <x:v>-0.004045</x:v>
      </x:c>
      <x:c r="G134" s="10">
        <x:v>0.000401</x:v>
      </x:c>
      <x:c r="H134" s="11">
        <x:f>MMULT(C134:G134,Exposures)</x:f>
      </x:c>
    </x:row>
    <x:row r="135" spans="1:10">
      <x:c r="B135" s="9">
        <x:v>45478</x:v>
      </x:c>
      <x:c r="C135" s="10">
        <x:v>-0.017094</x:v>
      </x:c>
      <x:c r="D135" s="10">
        <x:v>-0.019073</x:v>
      </x:c>
      <x:c r="E135" s="10">
        <x:v>-0.000113</x:v>
      </x:c>
      <x:c r="F135" s="10">
        <x:v>0.003377</x:v>
      </x:c>
      <x:c r="G135" s="10">
        <x:v>-0.004632</x:v>
      </x:c>
      <x:c r="H135" s="11">
        <x:f>MMULT(C135:G135,Exposures)</x:f>
      </x:c>
    </x:row>
    <x:row r="136" spans="1:10">
      <x:c r="B136" s="9">
        <x:v>45481</x:v>
      </x:c>
      <x:c r="C136" s="10">
        <x:v>-0.001502</x:v>
      </x:c>
      <x:c r="D136" s="10">
        <x:v>0.012839</x:v>
      </x:c>
      <x:c r="E136" s="10">
        <x:v>-0.019635</x:v>
      </x:c>
      <x:c r="F136" s="10">
        <x:v>-0.008486</x:v>
      </x:c>
      <x:c r="G136" s="10">
        <x:v>-0.002639</x:v>
      </x:c>
      <x:c r="H136" s="11">
        <x:f>MMULT(C136:G136,Exposures)</x:f>
      </x:c>
    </x:row>
    <x:row r="137" spans="1:10">
      <x:c r="B137" s="9">
        <x:v>45482</x:v>
      </x:c>
      <x:c r="C137" s="10">
        <x:v>-0.006899</x:v>
      </x:c>
      <x:c r="D137" s="10">
        <x:v>-0.005501</x:v>
      </x:c>
      <x:c r="E137" s="10">
        <x:v>-0.006078</x:v>
      </x:c>
      <x:c r="F137" s="10">
        <x:v>-0.002113</x:v>
      </x:c>
      <x:c r="G137" s="10">
        <x:v>-0.00384</x:v>
      </x:c>
      <x:c r="H137" s="11">
        <x:f>MMULT(C137:G137,Exposures)</x:f>
      </x:c>
    </x:row>
    <x:row r="138" spans="1:10">
      <x:c r="B138" s="9">
        <x:v>45483</x:v>
      </x:c>
      <x:c r="C138" s="10">
        <x:v>-0.003548</x:v>
      </x:c>
      <x:c r="D138" s="10">
        <x:v>0.000621</x:v>
      </x:c>
      <x:c r="E138" s="10">
        <x:v>0.006986</x:v>
      </x:c>
      <x:c r="F138" s="10">
        <x:v>0.000314</x:v>
      </x:c>
      <x:c r="G138" s="10">
        <x:v>0.000388</x:v>
      </x:c>
      <x:c r="H138" s="11">
        <x:f>MMULT(C138:G138,Exposures)</x:f>
      </x:c>
    </x:row>
    <x:row r="139" spans="1:10">
      <x:c r="B139" s="9">
        <x:v>45484</x:v>
      </x:c>
      <x:c r="C139" s="10">
        <x:v>0.01567</x:v>
      </x:c>
      <x:c r="D139" s="10">
        <x:v>0.018199</x:v>
      </x:c>
      <x:c r="E139" s="10">
        <x:v>0.015948</x:v>
      </x:c>
      <x:c r="F139" s="10">
        <x:v>-0.001175</x:v>
      </x:c>
      <x:c r="G139" s="10">
        <x:v>0.015801</x:v>
      </x:c>
      <x:c r="H139" s="11">
        <x:f>MMULT(C139:G139,Exposures)</x:f>
      </x:c>
    </x:row>
    <x:row r="140" spans="1:10">
      <x:c r="B140" s="9">
        <x:v>45485</x:v>
      </x:c>
      <x:c r="C140" s="10">
        <x:v>0.020504</x:v>
      </x:c>
      <x:c r="D140" s="10">
        <x:v>0.020634</x:v>
      </x:c>
      <x:c r="E140" s="10">
        <x:v>-0.008924</x:v>
      </x:c>
      <x:c r="F140" s="10">
        <x:v>-0.001473</x:v>
      </x:c>
      <x:c r="G140" s="10">
        <x:v>0.003313</x:v>
      </x:c>
      <x:c r="H140" s="11">
        <x:f>MMULT(C140:G140,Exposures)</x:f>
      </x:c>
    </x:row>
    <x:row r="141" spans="1:10">
      <x:c r="B141" s="9">
        <x:v>45488</x:v>
      </x:c>
      <x:c r="C141" s="10">
        <x:v>0.039833</x:v>
      </x:c>
      <x:c r="D141" s="10">
        <x:v>0.037428</x:v>
      </x:c>
      <x:c r="E141" s="10">
        <x:v>-0.016245</x:v>
      </x:c>
      <x:c r="F141" s="10">
        <x:v>0.001698</x:v>
      </x:c>
      <x:c r="G141" s="10">
        <x:v>-0.000271</x:v>
      </x:c>
      <x:c r="H141" s="11">
        <x:f>MMULT(C141:G141,Exposures)</x:f>
      </x:c>
    </x:row>
    <x:row r="142" spans="1:10">
      <x:c r="B142" s="9">
        <x:v>45489</x:v>
      </x:c>
      <x:c r="C142" s="10">
        <x:v>-0.007956</x:v>
      </x:c>
      <x:c r="D142" s="10">
        <x:v>-0.032042</x:v>
      </x:c>
      <x:c r="E142" s="10">
        <x:v>-0.003458</x:v>
      </x:c>
      <x:c r="F142" s="10">
        <x:v>0.004097</x:v>
      </x:c>
      <x:c r="G142" s="10">
        <x:v>-0.001304</x:v>
      </x:c>
      <x:c r="H142" s="11">
        <x:f>MMULT(C142:G142,Exposures)</x:f>
      </x:c>
    </x:row>
    <x:row r="143" spans="1:10">
      <x:c r="B143" s="9">
        <x:v>45490</x:v>
      </x:c>
      <x:c r="C143" s="10">
        <x:v>0.057939</x:v>
      </x:c>
      <x:c r="D143" s="10">
        <x:v>0.049206</x:v>
      </x:c>
      <x:c r="E143" s="10">
        <x:v>0.026317</x:v>
      </x:c>
      <x:c r="F143" s="10">
        <x:v>0.007903</x:v>
      </x:c>
      <x:c r="G143" s="10">
        <x:v>0.000772</x:v>
      </x:c>
      <x:c r="H143" s="11">
        <x:f>MMULT(C143:G143,Exposures)</x:f>
      </x:c>
    </x:row>
    <x:row r="144" spans="1:10">
      <x:c r="B144" s="9">
        <x:v>45491</x:v>
      </x:c>
      <x:c r="C144" s="10">
        <x:v>0.033907</x:v>
      </x:c>
      <x:c r="D144" s="10">
        <x:v>0.026012</x:v>
      </x:c>
      <x:c r="E144" s="10">
        <x:v>0.00831</x:v>
      </x:c>
      <x:c r="F144" s="10">
        <x:v>0.006206</x:v>
      </x:c>
      <x:c r="G144" s="10">
        <x:v>0.013503</x:v>
      </x:c>
      <x:c r="H144" s="11">
        <x:f>MMULT(C144:G144,Exposures)</x:f>
      </x:c>
    </x:row>
    <x:row r="145" spans="1:10">
      <x:c r="B145" s="9">
        <x:v>45492</x:v>
      </x:c>
      <x:c r="C145" s="10">
        <x:v>0.009943</x:v>
      </x:c>
      <x:c r="D145" s="10">
        <x:v>0.001904</x:v>
      </x:c>
      <x:c r="E145" s="10">
        <x:v>-0.048728</x:v>
      </x:c>
      <x:c r="F145" s="10">
        <x:v>-0.007485</x:v>
      </x:c>
      <x:c r="G145" s="10">
        <x:v>-0.002806</x:v>
      </x:c>
      <x:c r="H145" s="11">
        <x:f>MMULT(C145:G145,Exposures)</x:f>
      </x:c>
    </x:row>
    <x:row r="146" spans="1:10">
      <x:c r="B146" s="9">
        <x:v>45495</x:v>
      </x:c>
      <x:c r="C146" s="10">
        <x:v>-0.017201</x:v>
      </x:c>
      <x:c r="D146" s="10">
        <x:v>0.014322</x:v>
      </x:c>
      <x:c r="E146" s="10">
        <x:v>0.03208</x:v>
      </x:c>
      <x:c r="F146" s="10">
        <x:v>-0.013042</x:v>
      </x:c>
      <x:c r="G146" s="10">
        <x:v>-0.002874</x:v>
      </x:c>
      <x:c r="H146" s="11">
        <x:f>MMULT(C146:G146,Exposures)</x:f>
      </x:c>
    </x:row>
    <x:row r="147" spans="1:10">
      <x:c r="B147" s="9">
        <x:v>45496</x:v>
      </x:c>
      <x:c r="C147" s="10">
        <x:v>-0.023607</x:v>
      </x:c>
      <x:c r="D147" s="10">
        <x:v>-0.012122</x:v>
      </x:c>
      <x:c r="E147" s="10">
        <x:v>-0.039682</x:v>
      </x:c>
      <x:c r="F147" s="10">
        <x:v>0.004743</x:v>
      </x:c>
      <x:c r="G147" s="10">
        <x:v>-0.014015</x:v>
      </x:c>
      <x:c r="H147" s="11">
        <x:f>MMULT(C147:G147,Exposures)</x:f>
      </x:c>
    </x:row>
    <x:row r="148" spans="1:10">
      <x:c r="B148" s="9">
        <x:v>45497</x:v>
      </x:c>
      <x:c r="C148" s="10">
        <x:v>0.006139</x:v>
      </x:c>
      <x:c r="D148" s="10">
        <x:v>0.008437</x:v>
      </x:c>
      <x:c r="E148" s="10">
        <x:v>0.026924</x:v>
      </x:c>
      <x:c r="F148" s="10">
        <x:v>0.00831</x:v>
      </x:c>
      <x:c r="G148" s="10">
        <x:v>-0.00171</x:v>
      </x:c>
      <x:c r="H148" s="11">
        <x:f>MMULT(C148:G148,Exposures)</x:f>
      </x:c>
    </x:row>
    <x:row r="149" spans="1:10">
      <x:c r="B149" s="9">
        <x:v>45498</x:v>
      </x:c>
      <x:c r="C149" s="10">
        <x:v>0.042368</x:v>
      </x:c>
      <x:c r="D149" s="10">
        <x:v>0.036538</x:v>
      </x:c>
      <x:c r="E149" s="10">
        <x:v>-0.020852</x:v>
      </x:c>
      <x:c r="F149" s="10">
        <x:v>-0.00067</x:v>
      </x:c>
      <x:c r="G149" s="10">
        <x:v>-0.006549</x:v>
      </x:c>
      <x:c r="H149" s="11">
        <x:f>MMULT(C149:G149,Exposures)</x:f>
      </x:c>
    </x:row>
    <x:row r="150" spans="1:10">
      <x:c r="B150" s="9">
        <x:v>45499</x:v>
      </x:c>
      <x:c r="C150" s="10">
        <x:v>0.02969</x:v>
      </x:c>
      <x:c r="D150" s="10">
        <x:v>0.027817</x:v>
      </x:c>
      <x:c r="E150" s="10">
        <x:v>-0.019888</x:v>
      </x:c>
      <x:c r="F150" s="10">
        <x:v>0.001264</x:v>
      </x:c>
      <x:c r="G150" s="10">
        <x:v>0.01599</x:v>
      </x:c>
      <x:c r="H150" s="11">
        <x:f>MMULT(C150:G150,Exposures)</x:f>
      </x:c>
    </x:row>
    <x:row r="151" spans="1:10">
      <x:c r="B151" s="9">
        <x:v>45502</x:v>
      </x:c>
      <x:c r="C151" s="10">
        <x:v>0.025313</x:v>
      </x:c>
      <x:c r="D151" s="10">
        <x:v>0.020035</x:v>
      </x:c>
      <x:c r="E151" s="10">
        <x:v>-0.003101</x:v>
      </x:c>
      <x:c r="F151" s="10">
        <x:v>-0.000201</x:v>
      </x:c>
      <x:c r="G151" s="10">
        <x:v>2.1E-05</x:v>
      </x:c>
      <x:c r="H151" s="11">
        <x:f>MMULT(C151:G151,Exposures)</x:f>
      </x:c>
    </x:row>
    <x:row r="152" spans="1:10">
      <x:c r="B152" s="9">
        <x:v>45503</x:v>
      </x:c>
      <x:c r="C152" s="10">
        <x:v>0.007788</x:v>
      </x:c>
      <x:c r="D152" s="10">
        <x:v>-0.002683</x:v>
      </x:c>
      <x:c r="E152" s="10">
        <x:v>6.1E-05</x:v>
      </x:c>
      <x:c r="F152" s="10">
        <x:v>-0.001403</x:v>
      </x:c>
      <x:c r="G152" s="10">
        <x:v>0.00791</x:v>
      </x:c>
      <x:c r="H152" s="11">
        <x:f>MMULT(C152:G152,Exposures)</x:f>
      </x:c>
    </x:row>
    <x:row r="153" spans="1:10">
      <x:c r="B153" s="9">
        <x:v>45504</x:v>
      </x:c>
      <x:c r="C153" s="10">
        <x:v>-0.029673</x:v>
      </x:c>
      <x:c r="D153" s="10">
        <x:v>-0.026298</x:v>
      </x:c>
      <x:c r="E153" s="10">
        <x:v>-0.012163</x:v>
      </x:c>
      <x:c r="F153" s="10">
        <x:v>-0.000941</x:v>
      </x:c>
      <x:c r="G153" s="10">
        <x:v>-0.003421</x:v>
      </x:c>
      <x:c r="H153" s="11">
        <x:f>MMULT(C153:G153,Exposures)</x:f>
      </x:c>
    </x:row>
    <x:row r="154" spans="1:10">
      <x:c r="B154" s="9">
        <x:v>45505</x:v>
      </x:c>
      <x:c r="C154" s="10">
        <x:v>-0.018697</x:v>
      </x:c>
      <x:c r="D154" s="10">
        <x:v>-0.015574</x:v>
      </x:c>
      <x:c r="E154" s="10">
        <x:v>0.013536</x:v>
      </x:c>
      <x:c r="F154" s="10">
        <x:v>0.001295</x:v>
      </x:c>
      <x:c r="G154" s="10">
        <x:v>-0.003818</x:v>
      </x:c>
      <x:c r="H154" s="11">
        <x:f>MMULT(C154:G154,Exposures)</x:f>
      </x:c>
    </x:row>
    <x:row r="155" spans="1:10">
      <x:c r="B155" s="9">
        <x:v>45506</x:v>
      </x:c>
      <x:c r="C155" s="10">
        <x:v>0.038268</x:v>
      </x:c>
      <x:c r="D155" s="10">
        <x:v>0.048465</x:v>
      </x:c>
      <x:c r="E155" s="10">
        <x:v>0.008595</x:v>
      </x:c>
      <x:c r="F155" s="10">
        <x:v>-0.012153</x:v>
      </x:c>
      <x:c r="G155" s="10">
        <x:v>0.019008</x:v>
      </x:c>
      <x:c r="H155" s="11">
        <x:f>MMULT(C155:G155,Exposures)</x:f>
      </x:c>
    </x:row>
    <x:row r="156" spans="1:10">
      <x:c r="B156" s="9">
        <x:v>45509</x:v>
      </x:c>
      <x:c r="C156" s="10">
        <x:v>-0.002259</x:v>
      </x:c>
      <x:c r="D156" s="10">
        <x:v>0.00284</x:v>
      </x:c>
      <x:c r="E156" s="10">
        <x:v>-0.006422</x:v>
      </x:c>
      <x:c r="F156" s="10">
        <x:v>0.000946</x:v>
      </x:c>
      <x:c r="G156" s="10">
        <x:v>0.001525</x:v>
      </x:c>
      <x:c r="H156" s="11">
        <x:f>MMULT(C156:G156,Exposures)</x:f>
      </x:c>
    </x:row>
    <x:row r="157" spans="1:10">
      <x:c r="B157" s="9">
        <x:v>45510</x:v>
      </x:c>
      <x:c r="C157" s="10">
        <x:v>-0.017637</x:v>
      </x:c>
      <x:c r="D157" s="10">
        <x:v>-0.013147</x:v>
      </x:c>
      <x:c r="E157" s="10">
        <x:v>-0.015116</x:v>
      </x:c>
      <x:c r="F157" s="10">
        <x:v>0.005247</x:v>
      </x:c>
      <x:c r="G157" s="10">
        <x:v>-0.00283</x:v>
      </x:c>
      <x:c r="H157" s="11">
        <x:f>MMULT(C157:G157,Exposures)</x:f>
      </x:c>
    </x:row>
    <x:row r="158" spans="1:10">
      <x:c r="B158" s="9">
        <x:v>45511</x:v>
      </x:c>
      <x:c r="C158" s="10">
        <x:v>-0.003621</x:v>
      </x:c>
      <x:c r="D158" s="10">
        <x:v>-0.017533</x:v>
      </x:c>
      <x:c r="E158" s="10">
        <x:v>0.000698</x:v>
      </x:c>
      <x:c r="F158" s="10">
        <x:v>0.002342</x:v>
      </x:c>
      <x:c r="G158" s="10">
        <x:v>-0.00176</x:v>
      </x:c>
      <x:c r="H158" s="11">
        <x:f>MMULT(C158:G158,Exposures)</x:f>
      </x:c>
    </x:row>
    <x:row r="159" spans="1:10">
      <x:c r="B159" s="9">
        <x:v>45512</x:v>
      </x:c>
      <x:c r="C159" s="10">
        <x:v>0.024866</x:v>
      </x:c>
      <x:c r="D159" s="10">
        <x:v>0.016513</x:v>
      </x:c>
      <x:c r="E159" s="10">
        <x:v>-0.007251</x:v>
      </x:c>
      <x:c r="F159" s="10">
        <x:v>-0.000317</x:v>
      </x:c>
      <x:c r="G159" s="10">
        <x:v>0.00608</x:v>
      </x:c>
      <x:c r="H159" s="11">
        <x:f>MMULT(C159:G159,Exposures)</x:f>
      </x:c>
    </x:row>
    <x:row r="160" spans="1:10">
      <x:c r="B160" s="9">
        <x:v>45513</x:v>
      </x:c>
      <x:c r="C160" s="10">
        <x:v>-0.002562</x:v>
      </x:c>
      <x:c r="D160" s="10">
        <x:v>-0.005369</x:v>
      </x:c>
      <x:c r="E160" s="10">
        <x:v>0.007462</x:v>
      </x:c>
      <x:c r="F160" s="10">
        <x:v>0.004746</x:v>
      </x:c>
      <x:c r="G160" s="10">
        <x:v>-0.005692</x:v>
      </x:c>
      <x:c r="H160" s="11">
        <x:f>MMULT(C160:G160,Exposures)</x:f>
      </x:c>
    </x:row>
    <x:row r="161" spans="1:10">
      <x:c r="B161" s="9">
        <x:v>45516</x:v>
      </x:c>
      <x:c r="C161" s="10">
        <x:v>0.007465</x:v>
      </x:c>
      <x:c r="D161" s="10">
        <x:v>0.011567</x:v>
      </x:c>
      <x:c r="E161" s="10">
        <x:v>0.013412</x:v>
      </x:c>
      <x:c r="F161" s="10">
        <x:v>-0.003769</x:v>
      </x:c>
      <x:c r="G161" s="10">
        <x:v>0.002937</x:v>
      </x:c>
      <x:c r="H161" s="11">
        <x:f>MMULT(C161:G161,Exposures)</x:f>
      </x:c>
    </x:row>
    <x:row r="162" spans="1:10">
      <x:c r="B162" s="9">
        <x:v>45517</x:v>
      </x:c>
      <x:c r="C162" s="10">
        <x:v>0.007961</x:v>
      </x:c>
      <x:c r="D162" s="10">
        <x:v>0.002256</x:v>
      </x:c>
      <x:c r="E162" s="10">
        <x:v>0.010235</x:v>
      </x:c>
      <x:c r="F162" s="10">
        <x:v>-0.003115</x:v>
      </x:c>
      <x:c r="G162" s="10">
        <x:v>0.008311</x:v>
      </x:c>
      <x:c r="H162" s="11">
        <x:f>MMULT(C162:G162,Exposures)</x:f>
      </x:c>
    </x:row>
    <x:row r="163" spans="1:10">
      <x:c r="B163" s="9">
        <x:v>45518</x:v>
      </x:c>
      <x:c r="C163" s="10">
        <x:v>0.03589</x:v>
      </x:c>
      <x:c r="D163" s="10">
        <x:v>-0.033495</x:v>
      </x:c>
      <x:c r="E163" s="10">
        <x:v>-6E-05</x:v>
      </x:c>
      <x:c r="F163" s="10">
        <x:v>-0.015932</x:v>
      </x:c>
      <x:c r="G163" s="10">
        <x:v>0.00119</x:v>
      </x:c>
      <x:c r="H163" s="11">
        <x:f>MMULT(C163:G163,Exposures)</x:f>
      </x:c>
    </x:row>
    <x:row r="164" spans="1:10">
      <x:c r="B164" s="9">
        <x:v>45519</x:v>
      </x:c>
      <x:c r="C164" s="10">
        <x:v>0.009538</x:v>
      </x:c>
      <x:c r="D164" s="10">
        <x:v>0.0044</x:v>
      </x:c>
      <x:c r="E164" s="10">
        <x:v>0.017591</x:v>
      </x:c>
      <x:c r="F164" s="10">
        <x:v>-0.001614</x:v>
      </x:c>
      <x:c r="G164" s="10">
        <x:v>-0.002167</x:v>
      </x:c>
      <x:c r="H164" s="11">
        <x:f>MMULT(C164:G164,Exposures)</x:f>
      </x:c>
    </x:row>
    <x:row r="165" spans="1:10">
      <x:c r="B165" s="9">
        <x:v>45520</x:v>
      </x:c>
      <x:c r="C165" s="10">
        <x:v>0.005179</x:v>
      </x:c>
      <x:c r="D165" s="10">
        <x:v>-0.003458</x:v>
      </x:c>
      <x:c r="E165" s="10">
        <x:v>0.004269</x:v>
      </x:c>
      <x:c r="F165" s="10">
        <x:v>0.001126</x:v>
      </x:c>
      <x:c r="G165" s="10">
        <x:v>-0.002105</x:v>
      </x:c>
      <x:c r="H165" s="11">
        <x:f>MMULT(C165:G165,Exposures)</x:f>
      </x:c>
    </x:row>
    <x:row r="166" spans="1:10">
      <x:c r="B166" s="9">
        <x:v>45523</x:v>
      </x:c>
      <x:c r="C166" s="10">
        <x:v>0.000353</x:v>
      </x:c>
      <x:c r="D166" s="10">
        <x:v>-0.021034</x:v>
      </x:c>
      <x:c r="E166" s="10">
        <x:v>-0.001097</x:v>
      </x:c>
      <x:c r="F166" s="10">
        <x:v>0.003774</x:v>
      </x:c>
      <x:c r="G166" s="10">
        <x:v>0.006118</x:v>
      </x:c>
      <x:c r="H166" s="11">
        <x:f>MMULT(C166:G166,Exposures)</x:f>
      </x:c>
    </x:row>
    <x:row r="167" spans="1:10">
      <x:c r="B167" s="9">
        <x:v>45524</x:v>
      </x:c>
      <x:c r="C167" s="10">
        <x:v>0.003234</x:v>
      </x:c>
      <x:c r="D167" s="10">
        <x:v>-0.007168</x:v>
      </x:c>
      <x:c r="E167" s="10">
        <x:v>0.008905</x:v>
      </x:c>
      <x:c r="F167" s="10">
        <x:v>0.003125</x:v>
      </x:c>
      <x:c r="G167" s="10">
        <x:v>-0.002172</x:v>
      </x:c>
      <x:c r="H167" s="11">
        <x:f>MMULT(C167:G167,Exposures)</x:f>
      </x:c>
    </x:row>
    <x:row r="168" spans="1:10">
      <x:c r="B168" s="9">
        <x:v>45525</x:v>
      </x:c>
      <x:c r="C168" s="10">
        <x:v>0.023591</x:v>
      </x:c>
      <x:c r="D168" s="10">
        <x:v>0.009535</x:v>
      </x:c>
      <x:c r="E168" s="10">
        <x:v>-0.008981</x:v>
      </x:c>
      <x:c r="F168" s="10">
        <x:v>0.00271</x:v>
      </x:c>
      <x:c r="G168" s="10">
        <x:v>0.005626</x:v>
      </x:c>
      <x:c r="H168" s="11">
        <x:f>MMULT(C168:G168,Exposures)</x:f>
      </x:c>
    </x:row>
    <x:row r="169" spans="1:10">
      <x:c r="B169" s="9">
        <x:v>45526</x:v>
      </x:c>
      <x:c r="C169" s="10">
        <x:v>-0.015925</x:v>
      </x:c>
      <x:c r="D169" s="10">
        <x:v>-0.003907</x:v>
      </x:c>
      <x:c r="E169" s="10">
        <x:v>-0.003173</x:v>
      </x:c>
      <x:c r="F169" s="10">
        <x:v>0.003417</x:v>
      </x:c>
      <x:c r="G169" s="10">
        <x:v>-0.003103</x:v>
      </x:c>
      <x:c r="H169" s="11">
        <x:f>MMULT(C169:G169,Exposures)</x:f>
      </x:c>
    </x:row>
    <x:row r="170" spans="1:10">
      <x:c r="B170" s="9">
        <x:v>45527</x:v>
      </x:c>
      <x:c r="C170" s="10">
        <x:v>0.009832</x:v>
      </x:c>
      <x:c r="D170" s="10">
        <x:v>0.022413</x:v>
      </x:c>
      <x:c r="E170" s="10">
        <x:v>-0.007502</x:v>
      </x:c>
      <x:c r="F170" s="10">
        <x:v>-0.001155</x:v>
      </x:c>
      <x:c r="G170" s="10">
        <x:v>-0.00346</x:v>
      </x:c>
      <x:c r="H170" s="11">
        <x:f>MMULT(C170:G170,Exposures)</x:f>
      </x:c>
    </x:row>
    <x:row r="171" spans="1:10">
      <x:c r="B171" s="9">
        <x:v>45530</x:v>
      </x:c>
      <x:c r="C171" s="10">
        <x:v>0.001905</x:v>
      </x:c>
      <x:c r="D171" s="10">
        <x:v>-0.00612</x:v>
      </x:c>
      <x:c r="E171" s="10">
        <x:v>0.004864</x:v>
      </x:c>
      <x:c r="F171" s="10">
        <x:v>0.002696</x:v>
      </x:c>
      <x:c r="G171" s="10">
        <x:v>-0.002934</x:v>
      </x:c>
      <x:c r="H171" s="11">
        <x:f>MMULT(C171:G171,Exposures)</x:f>
      </x:c>
    </x:row>
    <x:row r="172" spans="1:10">
      <x:c r="B172" s="9">
        <x:v>45531</x:v>
      </x:c>
      <x:c r="C172" s="10">
        <x:v>-0.000485</x:v>
      </x:c>
      <x:c r="D172" s="10">
        <x:v>1.4E-05</x:v>
      </x:c>
      <x:c r="E172" s="10">
        <x:v>-0.008489</x:v>
      </x:c>
      <x:c r="F172" s="10">
        <x:v>-0.001321</x:v>
      </x:c>
      <x:c r="G172" s="10">
        <x:v>0.001047</x:v>
      </x:c>
      <x:c r="H172" s="11">
        <x:f>MMULT(C172:G172,Exposures)</x:f>
      </x:c>
    </x:row>
    <x:row r="173" spans="1:10">
      <x:c r="B173" s="9">
        <x:v>45532</x:v>
      </x:c>
      <x:c r="C173" s="10">
        <x:v>-0.004567</x:v>
      </x:c>
      <x:c r="D173" s="10">
        <x:v>0.005306</x:v>
      </x:c>
      <x:c r="E173" s="10">
        <x:v>0.001087</x:v>
      </x:c>
      <x:c r="F173" s="10">
        <x:v>0.002372</x:v>
      </x:c>
      <x:c r="G173" s="10">
        <x:v>0.003333</x:v>
      </x:c>
      <x:c r="H173" s="11">
        <x:f>MMULT(C173:G173,Exposures)</x:f>
      </x:c>
    </x:row>
    <x:row r="174" spans="1:10">
      <x:c r="B174" s="9">
        <x:v>45533</x:v>
      </x:c>
      <x:c r="C174" s="10">
        <x:v>0.028104</x:v>
      </x:c>
      <x:c r="D174" s="10">
        <x:v>0.033683</x:v>
      </x:c>
      <x:c r="E174" s="10">
        <x:v>0.024299</x:v>
      </x:c>
      <x:c r="F174" s="10">
        <x:v>0.007596</x:v>
      </x:c>
      <x:c r="G174" s="10">
        <x:v>0.000507</x:v>
      </x:c>
      <x:c r="H174" s="11">
        <x:f>MMULT(C174:G174,Exposures)</x:f>
      </x:c>
    </x:row>
    <x:row r="175" spans="1:10">
      <x:c r="B175" s="9">
        <x:v>45534</x:v>
      </x:c>
      <x:c r="C175" s="10">
        <x:v>-0.003137</x:v>
      </x:c>
      <x:c r="D175" s="10">
        <x:v>-0.005726</x:v>
      </x:c>
      <x:c r="E175" s="10">
        <x:v>0.003461</x:v>
      </x:c>
      <x:c r="F175" s="10">
        <x:v>0.000861</x:v>
      </x:c>
      <x:c r="G175" s="10">
        <x:v>-0.000608</x:v>
      </x:c>
      <x:c r="H175" s="11">
        <x:f>MMULT(C175:G175,Exposures)</x:f>
      </x:c>
    </x:row>
    <x:row r="176" spans="1:10">
      <x:c r="B176" s="9">
        <x:v>45537</x:v>
      </x:c>
      <x:c r="C176" s="10">
        <x:v>0.000696</x:v>
      </x:c>
      <x:c r="D176" s="10">
        <x:v>0.010031</x:v>
      </x:c>
      <x:c r="E176" s="10">
        <x:v>0.006091</x:v>
      </x:c>
      <x:c r="F176" s="10">
        <x:v>0.004064</x:v>
      </x:c>
      <x:c r="G176" s="10">
        <x:v>0.000475</x:v>
      </x:c>
      <x:c r="H176" s="11">
        <x:f>MMULT(C176:G176,Exposures)</x:f>
      </x:c>
    </x:row>
    <x:row r="177" spans="1:10">
      <x:c r="B177" s="9">
        <x:v>45538</x:v>
      </x:c>
      <x:c r="C177" s="10">
        <x:v>-0.004915</x:v>
      </x:c>
      <x:c r="D177" s="10">
        <x:v>0.003985</x:v>
      </x:c>
      <x:c r="E177" s="10">
        <x:v>-0.009604</x:v>
      </x:c>
      <x:c r="F177" s="10">
        <x:v>0.007661</x:v>
      </x:c>
      <x:c r="G177" s="10">
        <x:v>0.003316</x:v>
      </x:c>
      <x:c r="H177" s="11">
        <x:f>MMULT(C177:G177,Exposures)</x:f>
      </x:c>
    </x:row>
    <x:row r="178" spans="1:10">
      <x:c r="B178" s="9">
        <x:v>45539</x:v>
      </x:c>
      <x:c r="C178" s="10">
        <x:v>0.022395</x:v>
      </x:c>
      <x:c r="D178" s="10">
        <x:v>0.006641</x:v>
      </x:c>
      <x:c r="E178" s="10">
        <x:v>0.00592</x:v>
      </x:c>
      <x:c r="F178" s="10">
        <x:v>-0.003017</x:v>
      </x:c>
      <x:c r="G178" s="10">
        <x:v>0.006785</x:v>
      </x:c>
      <x:c r="H178" s="11">
        <x:f>MMULT(C178:G178,Exposures)</x:f>
      </x:c>
    </x:row>
    <x:row r="179" spans="1:10">
      <x:c r="B179" s="9">
        <x:v>45540</x:v>
      </x:c>
      <x:c r="C179" s="10">
        <x:v>-0.002102</x:v>
      </x:c>
      <x:c r="D179" s="10">
        <x:v>0.002508</x:v>
      </x:c>
      <x:c r="E179" s="10">
        <x:v>0.009257</x:v>
      </x:c>
      <x:c r="F179" s="10">
        <x:v>0.000359</x:v>
      </x:c>
      <x:c r="G179" s="10">
        <x:v>0.002192</x:v>
      </x:c>
      <x:c r="H179" s="11">
        <x:f>MMULT(C179:G179,Exposures)</x:f>
      </x:c>
    </x:row>
    <x:row r="180" spans="1:10">
      <x:c r="B180" s="9">
        <x:v>45541</x:v>
      </x:c>
      <x:c r="C180" s="10">
        <x:v>-0.016143</x:v>
      </x:c>
      <x:c r="D180" s="10">
        <x:v>0.001138</x:v>
      </x:c>
      <x:c r="E180" s="10">
        <x:v>0.022683</x:v>
      </x:c>
      <x:c r="F180" s="10">
        <x:v>0.000852</x:v>
      </x:c>
      <x:c r="G180" s="10">
        <x:v>-0.005918</x:v>
      </x:c>
      <x:c r="H180" s="11">
        <x:f>MMULT(C180:G180,Exposures)</x:f>
      </x:c>
    </x:row>
    <x:row r="181" spans="1:10">
      <x:c r="B181" s="9">
        <x:v>45544</x:v>
      </x:c>
      <x:c r="C181" s="10">
        <x:v>-0.026166</x:v>
      </x:c>
      <x:c r="D181" s="10">
        <x:v>-0.021352</x:v>
      </x:c>
      <x:c r="E181" s="10">
        <x:v>-0.001052</x:v>
      </x:c>
      <x:c r="F181" s="10">
        <x:v>0.01316</x:v>
      </x:c>
      <x:c r="G181" s="10">
        <x:v>-0.000841</x:v>
      </x:c>
      <x:c r="H181" s="11">
        <x:f>MMULT(C181:G181,Exposures)</x:f>
      </x:c>
    </x:row>
    <x:row r="182" spans="1:10">
      <x:c r="B182" s="9">
        <x:v>45545</x:v>
      </x:c>
      <x:c r="C182" s="10">
        <x:v>-0.001242</x:v>
      </x:c>
      <x:c r="D182" s="10">
        <x:v>-0.007716</x:v>
      </x:c>
      <x:c r="E182" s="10">
        <x:v>-0.002754</x:v>
      </x:c>
      <x:c r="F182" s="10">
        <x:v>-0.001618</x:v>
      </x:c>
      <x:c r="G182" s="10">
        <x:v>-0.001832</x:v>
      </x:c>
      <x:c r="H182" s="11">
        <x:f>MMULT(C182:G182,Exposures)</x:f>
      </x:c>
    </x:row>
    <x:row r="183" spans="1:10">
      <x:c r="B183" s="9">
        <x:v>45546</x:v>
      </x:c>
      <x:c r="C183" s="10">
        <x:v>-0.007927</x:v>
      </x:c>
      <x:c r="D183" s="10">
        <x:v>-0.008298</x:v>
      </x:c>
      <x:c r="E183" s="10">
        <x:v>0.005995</x:v>
      </x:c>
      <x:c r="F183" s="10">
        <x:v>0.000159</x:v>
      </x:c>
      <x:c r="G183" s="10">
        <x:v>-0.001428</x:v>
      </x:c>
      <x:c r="H183" s="11">
        <x:f>MMULT(C183:G183,Exposures)</x:f>
      </x:c>
    </x:row>
    <x:row r="184" spans="1:10">
      <x:c r="B184" s="9">
        <x:v>45547</x:v>
      </x:c>
      <x:c r="C184" s="10">
        <x:v>0.006427</x:v>
      </x:c>
      <x:c r="D184" s="10">
        <x:v>0.000505</x:v>
      </x:c>
      <x:c r="E184" s="10">
        <x:v>0.010792</x:v>
      </x:c>
      <x:c r="F184" s="10">
        <x:v>-0.001391</x:v>
      </x:c>
      <x:c r="G184" s="10">
        <x:v>0.005682</x:v>
      </x:c>
      <x:c r="H184" s="11">
        <x:f>MMULT(C184:G184,Exposures)</x:f>
      </x:c>
    </x:row>
    <x:row r="185" spans="1:10">
      <x:c r="B185" s="9">
        <x:v>45548</x:v>
      </x:c>
      <x:c r="C185" s="10">
        <x:v>-0.003911</x:v>
      </x:c>
      <x:c r="D185" s="10">
        <x:v>-0.009248</x:v>
      </x:c>
      <x:c r="E185" s="10">
        <x:v>-0.00237</x:v>
      </x:c>
      <x:c r="F185" s="10">
        <x:v>0.000318</x:v>
      </x:c>
      <x:c r="G185" s="10">
        <x:v>-0.005033</x:v>
      </x:c>
      <x:c r="H185" s="11">
        <x:f>MMULT(C185:G185,Exposures)</x:f>
      </x:c>
    </x:row>
    <x:row r="186" spans="1:10">
      <x:c r="B186" s="9">
        <x:v>45551</x:v>
      </x:c>
      <x:c r="C186" s="10">
        <x:v>0.00311</x:v>
      </x:c>
      <x:c r="D186" s="10">
        <x:v>0.008845</x:v>
      </x:c>
      <x:c r="E186" s="10">
        <x:v>9.8E-05</x:v>
      </x:c>
      <x:c r="F186" s="10">
        <x:v>-3.5E-05</x:v>
      </x:c>
      <x:c r="G186" s="10">
        <x:v>0.006107</x:v>
      </x:c>
      <x:c r="H186" s="11">
        <x:f>MMULT(C186:G186,Exposures)</x:f>
      </x:c>
    </x:row>
    <x:row r="187" spans="1:10">
      <x:c r="B187" s="9">
        <x:v>45552</x:v>
      </x:c>
      <x:c r="C187" s="10">
        <x:v>-0.013868</x:v>
      </x:c>
      <x:c r="D187" s="10">
        <x:v>-0.006674</x:v>
      </x:c>
      <x:c r="E187" s="10">
        <x:v>0.006036</x:v>
      </x:c>
      <x:c r="F187" s="10">
        <x:v>0.002391</x:v>
      </x:c>
      <x:c r="G187" s="10">
        <x:v>0.003302</x:v>
      </x:c>
      <x:c r="H187" s="11">
        <x:f>MMULT(C187:G187,Exposures)</x:f>
      </x:c>
    </x:row>
    <x:row r="188" spans="1:10">
      <x:c r="B188" s="9">
        <x:v>45553</x:v>
      </x:c>
      <x:c r="C188" s="10">
        <x:v>-0.033116</x:v>
      </x:c>
      <x:c r="D188" s="10">
        <x:v>-0.038704</x:v>
      </x:c>
      <x:c r="E188" s="10">
        <x:v>-0.019655</x:v>
      </x:c>
      <x:c r="F188" s="10">
        <x:v>-0.001886</x:v>
      </x:c>
      <x:c r="G188" s="10">
        <x:v>0.007826</x:v>
      </x:c>
      <x:c r="H188" s="11">
        <x:f>MMULT(C188:G188,Exposures)</x:f>
      </x:c>
    </x:row>
    <x:row r="189" spans="1:10">
      <x:c r="B189" s="9">
        <x:v>45554</x:v>
      </x:c>
      <x:c r="C189" s="10">
        <x:v>0.005607</x:v>
      </x:c>
      <x:c r="D189" s="10">
        <x:v>0.004321</x:v>
      </x:c>
      <x:c r="E189" s="10">
        <x:v>-0.00358</x:v>
      </x:c>
      <x:c r="F189" s="10">
        <x:v>-0.003402</x:v>
      </x:c>
      <x:c r="G189" s="10">
        <x:v>-0.004395</x:v>
      </x:c>
      <x:c r="H189" s="11">
        <x:f>MMULT(C189:G189,Exposures)</x:f>
      </x:c>
    </x:row>
    <x:row r="190" spans="1:10">
      <x:c r="B190" s="9">
        <x:v>45555</x:v>
      </x:c>
      <x:c r="C190" s="10">
        <x:v>-0.002239</x:v>
      </x:c>
      <x:c r="D190" s="10">
        <x:v>-0.004778</x:v>
      </x:c>
      <x:c r="E190" s="10">
        <x:v>-0.002454</x:v>
      </x:c>
      <x:c r="F190" s="10">
        <x:v>-0.001657</x:v>
      </x:c>
      <x:c r="G190" s="10">
        <x:v>0.000792</x:v>
      </x:c>
      <x:c r="H190" s="11">
        <x:f>MMULT(C190:G190,Exposures)</x:f>
      </x:c>
    </x:row>
    <x:row r="191" spans="1:10">
      <x:c r="B191" s="9">
        <x:v>45558</x:v>
      </x:c>
      <x:c r="C191" s="10">
        <x:v>-0.001701</x:v>
      </x:c>
      <x:c r="D191" s="10">
        <x:v>-0.005228</x:v>
      </x:c>
      <x:c r="E191" s="10">
        <x:v>0.00192</x:v>
      </x:c>
      <x:c r="F191" s="10">
        <x:v>-0.001155</x:v>
      </x:c>
      <x:c r="G191" s="10">
        <x:v>0.001108</x:v>
      </x:c>
      <x:c r="H191" s="11">
        <x:f>MMULT(C191:G191,Exposures)</x:f>
      </x:c>
    </x:row>
    <x:row r="192" spans="1:10">
      <x:c r="B192" s="9">
        <x:v>45559</x:v>
      </x:c>
      <x:c r="C192" s="10">
        <x:v>0.001326</x:v>
      </x:c>
      <x:c r="D192" s="10">
        <x:v>-0.002093</x:v>
      </x:c>
      <x:c r="E192" s="10">
        <x:v>-0.003672</x:v>
      </x:c>
      <x:c r="F192" s="10">
        <x:v>-0.002926</x:v>
      </x:c>
      <x:c r="G192" s="10">
        <x:v>-0.00161</x:v>
      </x:c>
      <x:c r="H192" s="11">
        <x:f>MMULT(C192:G192,Exposures)</x:f>
      </x:c>
    </x:row>
    <x:row r="193" spans="1:10">
      <x:c r="B193" s="9">
        <x:v>45560</x:v>
      </x:c>
      <x:c r="C193" s="10">
        <x:v>-0.012886</x:v>
      </x:c>
      <x:c r="D193" s="10">
        <x:v>-0.004262</x:v>
      </x:c>
      <x:c r="E193" s="10">
        <x:v>0.003855</x:v>
      </x:c>
      <x:c r="F193" s="10">
        <x:v>-0.002209</x:v>
      </x:c>
      <x:c r="G193" s="10">
        <x:v>0.002833</x:v>
      </x:c>
      <x:c r="H193" s="11">
        <x:f>MMULT(C193:G193,Exposures)</x:f>
      </x:c>
    </x:row>
    <x:row r="194" spans="1:10">
      <x:c r="B194" s="9">
        <x:v>45561</x:v>
      </x:c>
      <x:c r="C194" s="10">
        <x:v>-0.00473</x:v>
      </x:c>
      <x:c r="D194" s="10">
        <x:v>-0.005491</x:v>
      </x:c>
      <x:c r="E194" s="10">
        <x:v>-0.009208</x:v>
      </x:c>
      <x:c r="F194" s="10">
        <x:v>-0.001155</x:v>
      </x:c>
      <x:c r="G194" s="10">
        <x:v>-0.001535</x:v>
      </x:c>
      <x:c r="H194" s="11">
        <x:f>MMULT(C194:G194,Exposures)</x:f>
      </x:c>
    </x:row>
    <x:row r="195" spans="1:10">
      <x:c r="B195" s="9">
        <x:v>45562</x:v>
      </x:c>
      <x:c r="C195" s="10">
        <x:v>0.010567</x:v>
      </x:c>
      <x:c r="D195" s="10">
        <x:v>0.005282</x:v>
      </x:c>
      <x:c r="E195" s="10">
        <x:v>0.007486</x:v>
      </x:c>
      <x:c r="F195" s="10">
        <x:v>-0.000763</x:v>
      </x:c>
      <x:c r="G195" s="10">
        <x:v>0.003117</x:v>
      </x:c>
      <x:c r="H195" s="11">
        <x:f>MMULT(C195:G195,Exposures)</x:f>
      </x:c>
    </x:row>
    <x:row r="196" spans="1:10">
      <x:c r="B196" s="9">
        <x:v>45565</x:v>
      </x:c>
      <x:c r="C196" s="10">
        <x:v>-0.008117</x:v>
      </x:c>
      <x:c r="D196" s="10">
        <x:v>0.004863</x:v>
      </x:c>
      <x:c r="E196" s="10">
        <x:v>0.009541</x:v>
      </x:c>
      <x:c r="F196" s="10">
        <x:v>0.000204</x:v>
      </x:c>
      <x:c r="G196" s="10">
        <x:v>0.001048</x:v>
      </x:c>
      <x:c r="H196" s="11">
        <x:f>MMULT(C196:G196,Exposures)</x:f>
      </x:c>
    </x:row>
    <x:row r="197" spans="1:10">
      <x:c r="B197" s="9">
        <x:v>45566</x:v>
      </x:c>
      <x:c r="C197" s="10">
        <x:v>-0.003926</x:v>
      </x:c>
      <x:c r="D197" s="10">
        <x:v>-0.000707</x:v>
      </x:c>
      <x:c r="E197" s="10">
        <x:v>-0.00172</x:v>
      </x:c>
      <x:c r="F197" s="10">
        <x:v>-0.001756</x:v>
      </x:c>
      <x:c r="G197" s="10">
        <x:v>-0.000313</x:v>
      </x:c>
      <x:c r="H197" s="11">
        <x:f>MMULT(C197:G197,Exposures)</x:f>
      </x:c>
    </x:row>
    <x:row r="198" spans="1:10">
      <x:c r="B198" s="9">
        <x:v>45567</x:v>
      </x:c>
      <x:c r="C198" s="10">
        <x:v>0.009003</x:v>
      </x:c>
      <x:c r="D198" s="10">
        <x:v>-0.010564</x:v>
      </x:c>
      <x:c r="E198" s="10">
        <x:v>-0.003373</x:v>
      </x:c>
      <x:c r="F198" s="10">
        <x:v>-0.000517</x:v>
      </x:c>
      <x:c r="G198" s="10">
        <x:v>0.00024</x:v>
      </x:c>
      <x:c r="H198" s="11">
        <x:f>MMULT(C198:G198,Exposures)</x:f>
      </x:c>
    </x:row>
    <x:row r="199" spans="1:10">
      <x:c r="B199" s="9">
        <x:v>45568</x:v>
      </x:c>
      <x:c r="C199" s="10">
        <x:v>0.000517</x:v>
      </x:c>
      <x:c r="D199" s="10">
        <x:v>0.010043</x:v>
      </x:c>
      <x:c r="E199" s="10">
        <x:v>0.00281</x:v>
      </x:c>
      <x:c r="F199" s="10">
        <x:v>0.000987</x:v>
      </x:c>
      <x:c r="G199" s="10">
        <x:v>-0.001289</x:v>
      </x:c>
      <x:c r="H199" s="11">
        <x:f>MMULT(C199:G199,Exposures)</x:f>
      </x:c>
    </x:row>
    <x:row r="200" spans="1:10">
      <x:c r="B200" s="9">
        <x:v>45569</x:v>
      </x:c>
      <x:c r="C200" s="10">
        <x:v>-0.00465</x:v>
      </x:c>
      <x:c r="D200" s="10">
        <x:v>-0.000522</x:v>
      </x:c>
      <x:c r="E200" s="10">
        <x:v>0.002618</x:v>
      </x:c>
      <x:c r="F200" s="10">
        <x:v>-0.0037</x:v>
      </x:c>
      <x:c r="G200" s="10">
        <x:v>-0.001196</x:v>
      </x:c>
      <x:c r="H200" s="11">
        <x:f>MMULT(C200:G200,Exposures)</x:f>
      </x:c>
    </x:row>
    <x:row r="201" spans="1:10">
      <x:c r="B201" s="9">
        <x:v>45572</x:v>
      </x:c>
      <x:c r="C201" s="10">
        <x:v>0.038117</x:v>
      </x:c>
      <x:c r="D201" s="10">
        <x:v>0.029847</x:v>
      </x:c>
      <x:c r="E201" s="10">
        <x:v>-0.004779</x:v>
      </x:c>
      <x:c r="F201" s="10">
        <x:v>-0.005475</x:v>
      </x:c>
      <x:c r="G201" s="10">
        <x:v>0.005066</x:v>
      </x:c>
      <x:c r="H201" s="11">
        <x:f>MMULT(C201:G201,Exposures)</x:f>
      </x:c>
    </x:row>
    <x:row r="202" spans="1:10">
      <x:c r="B202" s="9">
        <x:v>45573</x:v>
      </x:c>
      <x:c r="C202" s="10">
        <x:v>0.018454</x:v>
      </x:c>
      <x:c r="D202" s="10">
        <x:v>0.008576</x:v>
      </x:c>
      <x:c r="E202" s="10">
        <x:v>0.006477</x:v>
      </x:c>
      <x:c r="F202" s="10">
        <x:v>-0.002016</x:v>
      </x:c>
      <x:c r="G202" s="10">
        <x:v>0.003203</x:v>
      </x:c>
      <x:c r="H202" s="11">
        <x:f>MMULT(C202:G202,Exposures)</x:f>
      </x:c>
    </x:row>
    <x:row r="203" spans="1:10">
      <x:c r="B203" s="9">
        <x:v>45574</x:v>
      </x:c>
      <x:c r="C203" s="10">
        <x:v>0.032355</x:v>
      </x:c>
      <x:c r="D203" s="10">
        <x:v>0.037853</x:v>
      </x:c>
      <x:c r="E203" s="10">
        <x:v>-0.001431</x:v>
      </x:c>
      <x:c r="F203" s="10">
        <x:v>-0.001635</x:v>
      </x:c>
      <x:c r="G203" s="10">
        <x:v>0.010234</x:v>
      </x:c>
      <x:c r="H203" s="11">
        <x:f>MMULT(C203:G203,Exposures)</x:f>
      </x:c>
    </x:row>
    <x:row r="204" spans="1:10">
      <x:c r="B204" s="9">
        <x:v>45575</x:v>
      </x:c>
      <x:c r="C204" s="10">
        <x:v>-0.002508</x:v>
      </x:c>
      <x:c r="D204" s="10">
        <x:v>-0.00393</x:v>
      </x:c>
      <x:c r="E204" s="10">
        <x:v>-0.003606</x:v>
      </x:c>
      <x:c r="F204" s="10">
        <x:v>-0.00094</x:v>
      </x:c>
      <x:c r="G204" s="10">
        <x:v>-0.005885</x:v>
      </x:c>
      <x:c r="H204" s="11">
        <x:f>MMULT(C204:G204,Exposures)</x:f>
      </x:c>
    </x:row>
    <x:row r="205" spans="1:10">
      <x:c r="B205" s="9">
        <x:v>45576</x:v>
      </x:c>
      <x:c r="C205" s="10">
        <x:v>0.006597</x:v>
      </x:c>
      <x:c r="D205" s="10">
        <x:v>0.006049</x:v>
      </x:c>
      <x:c r="E205" s="10">
        <x:v>0.006977</x:v>
      </x:c>
      <x:c r="F205" s="10">
        <x:v>-0.001459</x:v>
      </x:c>
      <x:c r="G205" s="10">
        <x:v>-0.000568</x:v>
      </x:c>
      <x:c r="H205" s="11">
        <x:f>MMULT(C205:G205,Exposures)</x:f>
      </x:c>
    </x:row>
    <x:row r="206" spans="1:10">
      <x:c r="B206" s="9">
        <x:v>45579</x:v>
      </x:c>
      <x:c r="C206" s="10">
        <x:v>-0.00439</x:v>
      </x:c>
      <x:c r="D206" s="10">
        <x:v>-0.005969</x:v>
      </x:c>
      <x:c r="E206" s="10">
        <x:v>0.014567</x:v>
      </x:c>
      <x:c r="F206" s="10">
        <x:v>0.002609</x:v>
      </x:c>
      <x:c r="G206" s="10">
        <x:v>0.004415</x:v>
      </x:c>
      <x:c r="H206" s="11">
        <x:f>MMULT(C206:G206,Exposures)</x:f>
      </x:c>
    </x:row>
    <x:row r="207" spans="1:10">
      <x:c r="B207" s="9">
        <x:v>45580</x:v>
      </x:c>
      <x:c r="C207" s="10">
        <x:v>0.002179</x:v>
      </x:c>
      <x:c r="D207" s="10">
        <x:v>-0.009868</x:v>
      </x:c>
      <x:c r="E207" s="10">
        <x:v>-0.015349</x:v>
      </x:c>
      <x:c r="F207" s="10">
        <x:v>-0.00048</x:v>
      </x:c>
      <x:c r="G207" s="10">
        <x:v>-0.00235</x:v>
      </x:c>
      <x:c r="H207" s="11">
        <x:f>MMULT(C207:G207,Exposures)</x:f>
      </x:c>
    </x:row>
    <x:row r="208" spans="1:10">
      <x:c r="B208" s="9">
        <x:v>45581</x:v>
      </x:c>
      <x:c r="C208" s="10">
        <x:v>-0.00907</x:v>
      </x:c>
      <x:c r="D208" s="10">
        <x:v>-0.012523</x:v>
      </x:c>
      <x:c r="E208" s="10">
        <x:v>-0.010765</x:v>
      </x:c>
      <x:c r="F208" s="10">
        <x:v>-0.005977</x:v>
      </x:c>
      <x:c r="G208" s="10">
        <x:v>-0.008973</x:v>
      </x:c>
      <x:c r="H208" s="11">
        <x:f>MMULT(C208:G208,Exposures)</x:f>
      </x:c>
    </x:row>
    <x:row r="209" spans="1:10">
      <x:c r="B209" s="9">
        <x:v>45582</x:v>
      </x:c>
      <x:c r="C209" s="10">
        <x:v>-0.01305</x:v>
      </x:c>
      <x:c r="D209" s="10">
        <x:v>-0.009636</x:v>
      </x:c>
      <x:c r="E209" s="10">
        <x:v>-0.009799</x:v>
      </x:c>
      <x:c r="F209" s="10">
        <x:v>0.003241</x:v>
      </x:c>
      <x:c r="G209" s="10">
        <x:v>0.001938</x:v>
      </x:c>
      <x:c r="H209" s="11">
        <x:f>MMULT(C209:G209,Exposures)</x:f>
      </x:c>
    </x:row>
    <x:row r="210" spans="1:10">
      <x:c r="B210" s="9">
        <x:v>45583</x:v>
      </x:c>
      <x:c r="C210" s="10">
        <x:v>-0.013757</x:v>
      </x:c>
      <x:c r="D210" s="10">
        <x:v>-0.013344</x:v>
      </x:c>
      <x:c r="E210" s="10">
        <x:v>-0.012371</x:v>
      </x:c>
      <x:c r="F210" s="10">
        <x:v>-0.002071</x:v>
      </x:c>
      <x:c r="G210" s="10">
        <x:v>-0.001857</x:v>
      </x:c>
      <x:c r="H210" s="11">
        <x:f>MMULT(C210:G210,Exposures)</x:f>
      </x:c>
    </x:row>
    <x:row r="211" spans="1:10">
      <x:c r="B211" s="9">
        <x:v>45586</x:v>
      </x:c>
      <x:c r="C211" s="10">
        <x:v>0.006491</x:v>
      </x:c>
      <x:c r="D211" s="10">
        <x:v>0.009391</x:v>
      </x:c>
      <x:c r="E211" s="10">
        <x:v>0.012145</x:v>
      </x:c>
      <x:c r="F211" s="10">
        <x:v>0.007537</x:v>
      </x:c>
      <x:c r="G211" s="10">
        <x:v>0.004764</x:v>
      </x:c>
      <x:c r="H211" s="11">
        <x:f>MMULT(C211:G211,Exposures)</x:f>
      </x:c>
    </x:row>
    <x:row r="212" spans="1:10">
      <x:c r="B212" s="9">
        <x:v>45587</x:v>
      </x:c>
      <x:c r="C212" s="10">
        <x:v>0.010794</x:v>
      </x:c>
      <x:c r="D212" s="10">
        <x:v>0.011172</x:v>
      </x:c>
      <x:c r="E212" s="10">
        <x:v>0.007281</x:v>
      </x:c>
      <x:c r="F212" s="10">
        <x:v>-0.002254</x:v>
      </x:c>
      <x:c r="G212" s="10">
        <x:v>-6.1E-05</x:v>
      </x:c>
      <x:c r="H212" s="11">
        <x:f>MMULT(C212:G212,Exposures)</x:f>
      </x:c>
    </x:row>
    <x:row r="213" spans="1:10">
      <x:c r="B213" s="9">
        <x:v>45588</x:v>
      </x:c>
      <x:c r="C213" s="10">
        <x:v>-6.1E-05</x:v>
      </x:c>
      <x:c r="D213" s="10">
        <x:v>-0.003296</x:v>
      </x:c>
      <x:c r="E213" s="10">
        <x:v>-0.010704</x:v>
      </x:c>
      <x:c r="F213" s="10">
        <x:v>-0.002892</x:v>
      </x:c>
      <x:c r="G213" s="10">
        <x:v>0.002526</x:v>
      </x:c>
      <x:c r="H213" s="11">
        <x:f>MMULT(C213:G213,Exposures)</x:f>
      </x:c>
    </x:row>
    <x:row r="214" spans="1:10">
      <x:c r="B214" s="9">
        <x:v>45589</x:v>
      </x:c>
      <x:c r="C214" s="10">
        <x:v>-0.017011</x:v>
      </x:c>
      <x:c r="D214" s="10">
        <x:v>-0.022933</x:v>
      </x:c>
      <x:c r="E214" s="10">
        <x:v>0.009667</x:v>
      </x:c>
      <x:c r="F214" s="10">
        <x:v>0.005868</x:v>
      </x:c>
      <x:c r="G214" s="10">
        <x:v>0.005471</x:v>
      </x:c>
      <x:c r="H214" s="11">
        <x:f>MMULT(C214:G214,Exposures)</x:f>
      </x:c>
    </x:row>
    <x:row r="215" spans="1:10">
      <x:c r="B215" s="9">
        <x:v>45590</x:v>
      </x:c>
      <x:c r="C215" s="10">
        <x:v>0.002594</x:v>
      </x:c>
      <x:c r="D215" s="10">
        <x:v>0.010503</x:v>
      </x:c>
      <x:c r="E215" s="10">
        <x:v>0.005283</x:v>
      </x:c>
      <x:c r="F215" s="10">
        <x:v>0.004185</x:v>
      </x:c>
      <x:c r="G215" s="10">
        <x:v>0.00522</x:v>
      </x:c>
      <x:c r="H215" s="11">
        <x:f>MMULT(C215:G215,Exposures)</x:f>
      </x:c>
    </x:row>
    <x:row r="216" spans="1:10">
      <x:c r="B216" s="9">
        <x:v>45593</x:v>
      </x:c>
      <x:c r="C216" s="10">
        <x:v>-0.002223</x:v>
      </x:c>
      <x:c r="D216" s="10">
        <x:v>0.001933</x:v>
      </x:c>
      <x:c r="E216" s="10">
        <x:v>0.000684</x:v>
      </x:c>
      <x:c r="F216" s="10">
        <x:v>0.00074</x:v>
      </x:c>
      <x:c r="G216" s="10">
        <x:v>-0.000769</x:v>
      </x:c>
      <x:c r="H216" s="11">
        <x:f>MMULT(C216:G216,Exposures)</x:f>
      </x:c>
    </x:row>
    <x:row r="217" spans="1:10">
      <x:c r="B217" s="9">
        <x:v>45594</x:v>
      </x:c>
      <x:c r="C217" s="10">
        <x:v>-0.001207</x:v>
      </x:c>
      <x:c r="D217" s="10">
        <x:v>-0.00072</x:v>
      </x:c>
      <x:c r="E217" s="10">
        <x:v>0.002893</x:v>
      </x:c>
      <x:c r="F217" s="10">
        <x:v>-0.001305</x:v>
      </x:c>
      <x:c r="G217" s="10">
        <x:v>0.000159</x:v>
      </x:c>
      <x:c r="H217" s="11">
        <x:f>MMULT(C217:G217,Exposures)</x:f>
      </x:c>
    </x:row>
    <x:row r="218" spans="1:10">
      <x:c r="B218" s="9">
        <x:v>45595</x:v>
      </x:c>
      <x:c r="C218" s="10">
        <x:v>0.001326</x:v>
      </x:c>
      <x:c r="D218" s="10">
        <x:v>-0.006302</x:v>
      </x:c>
      <x:c r="E218" s="10">
        <x:v>-0.002032</x:v>
      </x:c>
      <x:c r="F218" s="10">
        <x:v>-0.006611</x:v>
      </x:c>
      <x:c r="G218" s="10">
        <x:v>-0.00085</x:v>
      </x:c>
      <x:c r="H218" s="11">
        <x:f>MMULT(C218:G218,Exposures)</x:f>
      </x:c>
    </x:row>
    <x:row r="219" spans="1:10">
      <x:c r="B219" s="9">
        <x:v>45596</x:v>
      </x:c>
      <x:c r="C219" s="10">
        <x:v>-0.004328</x:v>
      </x:c>
      <x:c r="D219" s="10">
        <x:v>0.001524</x:v>
      </x:c>
      <x:c r="E219" s="10">
        <x:v>-0.001507</x:v>
      </x:c>
      <x:c r="F219" s="10">
        <x:v>0.001366</x:v>
      </x:c>
      <x:c r="G219" s="10">
        <x:v>-0.004188</x:v>
      </x:c>
      <x:c r="H219" s="11">
        <x:f>MMULT(C219:G219,Exposures)</x:f>
      </x:c>
    </x:row>
    <x:row r="220" spans="1:10">
      <x:c r="B220" s="9">
        <x:v>45597</x:v>
      </x:c>
      <x:c r="C220" s="10">
        <x:v>0.007442</x:v>
      </x:c>
      <x:c r="D220" s="10">
        <x:v>-0.005687</x:v>
      </x:c>
      <x:c r="E220" s="10">
        <x:v>-0.010592</x:v>
      </x:c>
      <x:c r="F220" s="10">
        <x:v>-0.002302</x:v>
      </x:c>
      <x:c r="G220" s="10">
        <x:v>0.000978</x:v>
      </x:c>
      <x:c r="H220" s="11">
        <x:f>MMULT(C220:G220,Exposures)</x:f>
      </x:c>
    </x:row>
    <x:row r="221" spans="1:10">
      <x:c r="B221" s="9">
        <x:v>45600</x:v>
      </x:c>
      <x:c r="C221" s="10">
        <x:v>-0.007423</x:v>
      </x:c>
      <x:c r="D221" s="10">
        <x:v>-0.001722</x:v>
      </x:c>
      <x:c r="E221" s="10">
        <x:v>0.002754</x:v>
      </x:c>
      <x:c r="F221" s="10">
        <x:v>0.002387</x:v>
      </x:c>
      <x:c r="G221" s="10">
        <x:v>-0.000589</x:v>
      </x:c>
      <x:c r="H221" s="11">
        <x:f>MMULT(C221:G221,Exposures)</x:f>
      </x:c>
    </x:row>
    <x:row r="222" spans="1:10">
      <x:c r="B222" s="9">
        <x:v>45601</x:v>
      </x:c>
      <x:c r="C222" s="10">
        <x:v>0.010662</x:v>
      </x:c>
      <x:c r="D222" s="10">
        <x:v>0.00772</x:v>
      </x:c>
      <x:c r="E222" s="10">
        <x:v>-0.003839</x:v>
      </x:c>
      <x:c r="F222" s="10">
        <x:v>-7.8E-05</x:v>
      </x:c>
      <x:c r="G222" s="10">
        <x:v>0.000815</x:v>
      </x:c>
      <x:c r="H222" s="11">
        <x:f>MMULT(C222:G222,Exposures)</x:f>
      </x:c>
    </x:row>
    <x:row r="223" spans="1:10">
      <x:c r="B223" s="9">
        <x:v>45602</x:v>
      </x:c>
      <x:c r="C223" s="10">
        <x:v>-0.009025</x:v>
      </x:c>
      <x:c r="D223" s="10">
        <x:v>0.000278</x:v>
      </x:c>
      <x:c r="E223" s="10">
        <x:v>-0.019295</x:v>
      </x:c>
      <x:c r="F223" s="10">
        <x:v>-0.002868</x:v>
      </x:c>
      <x:c r="G223" s="10">
        <x:v>-0.005918</x:v>
      </x:c>
      <x:c r="H223" s="11">
        <x:f>MMULT(C223:G223,Exposures)</x:f>
      </x:c>
    </x:row>
    <x:row r="224" spans="1:10">
      <x:c r="B224" s="9">
        <x:v>45603</x:v>
      </x:c>
      <x:c r="C224" s="10">
        <x:v>0.000162</x:v>
      </x:c>
      <x:c r="D224" s="10">
        <x:v>0.000964</x:v>
      </x:c>
      <x:c r="E224" s="10">
        <x:v>-0.001968</x:v>
      </x:c>
      <x:c r="F224" s="10">
        <x:v>0.004401</x:v>
      </x:c>
      <x:c r="G224" s="10">
        <x:v>0.003927</x:v>
      </x:c>
      <x:c r="H224" s="11">
        <x:f>MMULT(C224:G224,Exposures)</x:f>
      </x:c>
    </x:row>
    <x:row r="225" spans="1:10">
      <x:c r="B225" s="9">
        <x:v>45604</x:v>
      </x:c>
      <x:c r="C225" s="10">
        <x:v>-0.008215</x:v>
      </x:c>
      <x:c r="D225" s="10">
        <x:v>-0.0041</x:v>
      </x:c>
      <x:c r="E225" s="10">
        <x:v>2.5E-05</x:v>
      </x:c>
      <x:c r="F225" s="10">
        <x:v>0.006738</x:v>
      </x:c>
      <x:c r="G225" s="10">
        <x:v>-0.003833</x:v>
      </x:c>
      <x:c r="H225" s="11">
        <x:f>MMULT(C225:G225,Exposures)</x:f>
      </x:c>
    </x:row>
    <x:row r="226" spans="1:10">
      <x:c r="B226" s="9">
        <x:v>45607</x:v>
      </x:c>
      <x:c r="C226" s="10">
        <x:v>0.007724</x:v>
      </x:c>
      <x:c r="D226" s="10">
        <x:v>0.00954</x:v>
      </x:c>
      <x:c r="E226" s="10">
        <x:v>0.002831</x:v>
      </x:c>
      <x:c r="F226" s="10">
        <x:v>-0.003698</x:v>
      </x:c>
      <x:c r="G226" s="10">
        <x:v>0.006489</x:v>
      </x:c>
      <x:c r="H226" s="11">
        <x:f>MMULT(C226:G226,Exposures)</x:f>
      </x:c>
    </x:row>
    <x:row r="227" spans="1:10">
      <x:c r="B227" s="9">
        <x:v>45608</x:v>
      </x:c>
      <x:c r="C227" s="10">
        <x:v>0.009108</x:v>
      </x:c>
      <x:c r="D227" s="10">
        <x:v>0.005983</x:v>
      </x:c>
      <x:c r="E227" s="10">
        <x:v>0.008819</x:v>
      </x:c>
      <x:c r="F227" s="10">
        <x:v>-0.010184</x:v>
      </x:c>
      <x:c r="G227" s="10">
        <x:v>-0.003882</x:v>
      </x:c>
      <x:c r="H227" s="11">
        <x:f>MMULT(C227:G227,Exposures)</x:f>
      </x:c>
    </x:row>
    <x:row r="228" spans="1:10">
      <x:c r="B228" s="9">
        <x:v>45609</x:v>
      </x:c>
      <x:c r="C228" s="10">
        <x:v>-0.003323</x:v>
      </x:c>
      <x:c r="D228" s="10">
        <x:v>-0.024313</x:v>
      </x:c>
      <x:c r="E228" s="10">
        <x:v>0.005787</x:v>
      </x:c>
      <x:c r="F228" s="10">
        <x:v>0.009182</x:v>
      </x:c>
      <x:c r="G228" s="10">
        <x:v>-0.000229</x:v>
      </x:c>
      <x:c r="H228" s="11">
        <x:f>MMULT(C228:G228,Exposures)</x:f>
      </x:c>
    </x:row>
    <x:row r="229" spans="1:10">
      <x:c r="B229" s="9">
        <x:v>45610</x:v>
      </x:c>
      <x:c r="C229" s="10">
        <x:v>0.005972</x:v>
      </x:c>
      <x:c r="D229" s="10">
        <x:v>0.013863</x:v>
      </x:c>
      <x:c r="E229" s="10">
        <x:v>0.002298</x:v>
      </x:c>
      <x:c r="F229" s="10">
        <x:v>-0.001837</x:v>
      </x:c>
      <x:c r="G229" s="10">
        <x:v>-0.00427</x:v>
      </x:c>
      <x:c r="H229" s="11">
        <x:f>MMULT(C229:G229,Exposures)</x:f>
      </x:c>
    </x:row>
    <x:row r="230" spans="1:10">
      <x:c r="B230" s="9">
        <x:v>45611</x:v>
      </x:c>
      <x:c r="C230" s="10">
        <x:v>0.003878</x:v>
      </x:c>
      <x:c r="D230" s="10">
        <x:v>-0.012394</x:v>
      </x:c>
      <x:c r="E230" s="10">
        <x:v>-0.001545</x:v>
      </x:c>
      <x:c r="F230" s="10">
        <x:v>-0.003471</x:v>
      </x:c>
      <x:c r="G230" s="10">
        <x:v>0.001886</x:v>
      </x:c>
      <x:c r="H230" s="11">
        <x:f>MMULT(C230:G230,Exposures)</x:f>
      </x:c>
    </x:row>
    <x:row r="231" spans="1:10">
      <x:c r="B231" s="9">
        <x:v>45614</x:v>
      </x:c>
      <x:c r="C231" s="10">
        <x:v>-0.009067</x:v>
      </x:c>
      <x:c r="D231" s="10">
        <x:v>-0.01363</x:v>
      </x:c>
      <x:c r="E231" s="10">
        <x:v>0.000117</x:v>
      </x:c>
      <x:c r="F231" s="10">
        <x:v>0.003696</x:v>
      </x:c>
      <x:c r="G231" s="10">
        <x:v>-0.003977</x:v>
      </x:c>
      <x:c r="H231" s="11">
        <x:f>MMULT(C231:G231,Exposures)</x:f>
      </x:c>
    </x:row>
    <x:row r="232" spans="1:10">
      <x:c r="B232" s="9">
        <x:v>45615</x:v>
      </x:c>
      <x:c r="C232" s="10">
        <x:v>-0.006506</x:v>
      </x:c>
      <x:c r="D232" s="10">
        <x:v>0.002931</x:v>
      </x:c>
      <x:c r="E232" s="10">
        <x:v>-0.009587</x:v>
      </x:c>
      <x:c r="F232" s="10">
        <x:v>0.001033</x:v>
      </x:c>
      <x:c r="G232" s="10">
        <x:v>0.003813</x:v>
      </x:c>
      <x:c r="H232" s="11">
        <x:f>MMULT(C232:G232,Exposures)</x:f>
      </x:c>
    </x:row>
    <x:row r="233" spans="1:10">
      <x:c r="B233" s="9">
        <x:v>45616</x:v>
      </x:c>
      <x:c r="C233" s="10">
        <x:v>-0.001628</x:v>
      </x:c>
      <x:c r="D233" s="10">
        <x:v>0.001939</x:v>
      </x:c>
      <x:c r="E233" s="10">
        <x:v>0.00839</x:v>
      </x:c>
      <x:c r="F233" s="10">
        <x:v>0.003745</x:v>
      </x:c>
      <x:c r="G233" s="10">
        <x:v>-0.000584</x:v>
      </x:c>
      <x:c r="H233" s="11">
        <x:f>MMULT(C233:G233,Exposures)</x:f>
      </x:c>
    </x:row>
    <x:row r="234" spans="1:10">
      <x:c r="B234" s="9">
        <x:v>45617</x:v>
      </x:c>
      <x:c r="C234" s="10">
        <x:v>-0.012015</x:v>
      </x:c>
      <x:c r="D234" s="10">
        <x:v>0.015855</x:v>
      </x:c>
      <x:c r="E234" s="10">
        <x:v>0.003551</x:v>
      </x:c>
      <x:c r="F234" s="10">
        <x:v>-0.007447</x:v>
      </x:c>
      <x:c r="G234" s="10">
        <x:v>-0.001628</x:v>
      </x:c>
      <x:c r="H234" s="11">
        <x:f>MMULT(C234:G234,Exposures)</x:f>
      </x:c>
    </x:row>
    <x:row r="235" spans="1:10">
      <x:c r="B235" s="9">
        <x:v>45618</x:v>
      </x:c>
      <x:c r="C235" s="10">
        <x:v>0.003109</x:v>
      </x:c>
      <x:c r="D235" s="10">
        <x:v>0.001944</x:v>
      </x:c>
      <x:c r="E235" s="10">
        <x:v>-0.007639</x:v>
      </x:c>
      <x:c r="F235" s="10">
        <x:v>-0.001063</x:v>
      </x:c>
      <x:c r="G235" s="10">
        <x:v>-0.000202</x:v>
      </x:c>
      <x:c r="H235" s="11">
        <x:f>MMULT(C235:G235,Exposures)</x:f>
      </x:c>
    </x:row>
    <x:row r="236" spans="1:10">
      <x:c r="B236" s="9">
        <x:v>45621</x:v>
      </x:c>
      <x:c r="C236" s="10">
        <x:v>-0.012016</x:v>
      </x:c>
      <x:c r="D236" s="10">
        <x:v>-0.004005</x:v>
      </x:c>
      <x:c r="E236" s="10">
        <x:v>-0.001498</x:v>
      </x:c>
      <x:c r="F236" s="10">
        <x:v>0.001212</x:v>
      </x:c>
      <x:c r="G236" s="10">
        <x:v>-0.000327</x:v>
      </x:c>
      <x:c r="H236" s="11">
        <x:f>MMULT(C236:G236,Exposures)</x:f>
      </x:c>
    </x:row>
    <x:row r="237" spans="1:10">
      <x:c r="B237" s="9">
        <x:v>45622</x:v>
      </x:c>
      <x:c r="C237" s="10">
        <x:v>0.017277</x:v>
      </x:c>
      <x:c r="D237" s="10">
        <x:v>0.00375</x:v>
      </x:c>
      <x:c r="E237" s="10">
        <x:v>-0.00185</x:v>
      </x:c>
      <x:c r="F237" s="10">
        <x:v>-0.002064</x:v>
      </x:c>
      <x:c r="G237" s="10">
        <x:v>-0.004325</x:v>
      </x:c>
      <x:c r="H237" s="11">
        <x:f>MMULT(C237:G237,Exposures)</x:f>
      </x:c>
    </x:row>
    <x:row r="238" spans="1:10">
      <x:c r="B238" s="9">
        <x:v>45623</x:v>
      </x:c>
      <x:c r="C238" s="10">
        <x:v>-0.023494</x:v>
      </x:c>
      <x:c r="D238" s="10">
        <x:v>-0.022803</x:v>
      </x:c>
      <x:c r="E238" s="10">
        <x:v>0.012593</x:v>
      </x:c>
      <x:c r="F238" s="10">
        <x:v>0.000471</x:v>
      </x:c>
      <x:c r="G238" s="10">
        <x:v>0.008767</x:v>
      </x:c>
      <x:c r="H238" s="11">
        <x:f>MMULT(C238:G238,Exposures)</x:f>
      </x:c>
    </x:row>
    <x:row r="239" spans="1:10">
      <x:c r="B239" s="9">
        <x:v>45624</x:v>
      </x:c>
      <x:c r="C239" s="10">
        <x:v>-0.008255</x:v>
      </x:c>
      <x:c r="D239" s="10">
        <x:v>-0.008883</x:v>
      </x:c>
      <x:c r="E239" s="10">
        <x:v>-0.00563</x:v>
      </x:c>
      <x:c r="F239" s="10">
        <x:v>-0.001339</x:v>
      </x:c>
      <x:c r="G239" s="10">
        <x:v>-0.000744</x:v>
      </x:c>
      <x:c r="H239" s="11">
        <x:f>MMULT(C239:G239,Exposures)</x:f>
      </x:c>
    </x:row>
    <x:row r="240" spans="1:10">
      <x:c r="B240" s="9">
        <x:v>45625</x:v>
      </x:c>
      <x:c r="C240" s="10">
        <x:v>-0.001367</x:v>
      </x:c>
      <x:c r="D240" s="10">
        <x:v>0.003205</x:v>
      </x:c>
      <x:c r="E240" s="10">
        <x:v>0.00593</x:v>
      </x:c>
      <x:c r="F240" s="10">
        <x:v>0.005378</x:v>
      </x:c>
      <x:c r="G240" s="10">
        <x:v>0.004281</x:v>
      </x:c>
      <x:c r="H240" s="11">
        <x:f>MMULT(C240:G240,Exposures)</x:f>
      </x:c>
    </x:row>
    <x:row r="241" spans="1:10">
      <x:c r="B241" s="9">
        <x:v>45628</x:v>
      </x:c>
      <x:c r="C241" s="10">
        <x:v>0.002848</x:v>
      </x:c>
      <x:c r="D241" s="10">
        <x:v>-0.002642</x:v>
      </x:c>
      <x:c r="E241" s="10">
        <x:v>-0.009287</x:v>
      </x:c>
      <x:c r="F241" s="10">
        <x:v>0.000823</x:v>
      </x:c>
      <x:c r="G241" s="10">
        <x:v>-0.004618</x:v>
      </x:c>
      <x:c r="H241" s="11">
        <x:f>MMULT(C241:G241,Exposures)</x:f>
      </x:c>
    </x:row>
    <x:row r="242" spans="1:10">
      <x:c r="B242" s="9">
        <x:v>45629</x:v>
      </x:c>
      <x:c r="C242" s="10">
        <x:v>0.007701</x:v>
      </x:c>
      <x:c r="D242" s="10">
        <x:v>0.004321</x:v>
      </x:c>
      <x:c r="E242" s="10">
        <x:v>0.001386</x:v>
      </x:c>
      <x:c r="F242" s="10">
        <x:v>-0.003254</x:v>
      </x:c>
      <x:c r="G242" s="10">
        <x:v>0.000444</x:v>
      </x:c>
      <x:c r="H242" s="11">
        <x:f>MMULT(C242:G242,Exposures)</x:f>
      </x:c>
    </x:row>
    <x:row r="243" spans="1:10">
      <x:c r="B243" s="9">
        <x:v>45630</x:v>
      </x:c>
      <x:c r="C243" s="10">
        <x:v>0.005191</x:v>
      </x:c>
      <x:c r="D243" s="10">
        <x:v>0.005918</x:v>
      </x:c>
      <x:c r="E243" s="10">
        <x:v>0.00555</x:v>
      </x:c>
      <x:c r="F243" s="10">
        <x:v>-0.008356</x:v>
      </x:c>
      <x:c r="G243" s="10">
        <x:v>0.010935</x:v>
      </x:c>
      <x:c r="H243" s="11">
        <x:f>MMULT(C243:G243,Exposures)</x:f>
      </x:c>
    </x:row>
    <x:row r="244" spans="1:10">
      <x:c r="B244" s="9">
        <x:v>45631</x:v>
      </x:c>
      <x:c r="C244" s="10">
        <x:v>-0.003634</x:v>
      </x:c>
      <x:c r="D244" s="10">
        <x:v>0.00274</x:v>
      </x:c>
      <x:c r="E244" s="10">
        <x:v>0.001249</x:v>
      </x:c>
      <x:c r="F244" s="10">
        <x:v>-0.000844</x:v>
      </x:c>
      <x:c r="G244" s="10">
        <x:v>0.001925</x:v>
      </x:c>
      <x:c r="H244" s="11">
        <x:f>MMULT(C244:G244,Exposures)</x:f>
      </x:c>
    </x:row>
    <x:row r="245" spans="1:10">
      <x:c r="B245" s="9">
        <x:v>45632</x:v>
      </x:c>
      <x:c r="C245" s="10">
        <x:v>-0.008025</x:v>
      </x:c>
      <x:c r="D245" s="10">
        <x:v>0.000235</x:v>
      </x:c>
      <x:c r="E245" s="10">
        <x:v>-0.001442</x:v>
      </x:c>
      <x:c r="F245" s="10">
        <x:v>0.00686</x:v>
      </x:c>
      <x:c r="G245" s="10">
        <x:v>-0.001704</x:v>
      </x:c>
      <x:c r="H245" s="11">
        <x:f>MMULT(C245:G245,Exposures)</x:f>
      </x:c>
    </x:row>
    <x:row r="246" spans="1:10">
      <x:c r="B246" s="9">
        <x:v>45635</x:v>
      </x:c>
      <x:c r="C246" s="10">
        <x:v>0.022391</x:v>
      </x:c>
      <x:c r="D246" s="10">
        <x:v>0.016648</x:v>
      </x:c>
      <x:c r="E246" s="10">
        <x:v>0.003395</x:v>
      </x:c>
      <x:c r="F246" s="10">
        <x:v>-0.003964</x:v>
      </x:c>
      <x:c r="G246" s="10">
        <x:v>-0.00246</x:v>
      </x:c>
      <x:c r="H246" s="11">
        <x:f>MMULT(C246:G246,Exposures)</x:f>
      </x:c>
    </x:row>
    <x:row r="247" spans="1:10">
      <x:c r="B247" s="9">
        <x:v>45636</x:v>
      </x:c>
      <x:c r="C247" s="10">
        <x:v>0.007156</x:v>
      </x:c>
      <x:c r="D247" s="10">
        <x:v>0.003416</x:v>
      </x:c>
      <x:c r="E247" s="10">
        <x:v>0.003677</x:v>
      </x:c>
      <x:c r="F247" s="10">
        <x:v>-0.002963</x:v>
      </x:c>
      <x:c r="G247" s="10">
        <x:v>0.002031</x:v>
      </x:c>
      <x:c r="H247" s="11">
        <x:f>MMULT(C247:G247,Exposures)</x:f>
      </x:c>
    </x:row>
    <x:row r="248" spans="1:10">
      <x:c r="B248" s="9">
        <x:v>45637</x:v>
      </x:c>
      <x:c r="C248" s="10">
        <x:v>-0.010102</x:v>
      </x:c>
      <x:c r="D248" s="10">
        <x:v>-0.008573</x:v>
      </x:c>
      <x:c r="E248" s="10">
        <x:v>-0.003519</x:v>
      </x:c>
      <x:c r="F248" s="10">
        <x:v>0.006543</x:v>
      </x:c>
      <x:c r="G248" s="10">
        <x:v>0.003115</x:v>
      </x:c>
      <x:c r="H248" s="11">
        <x:f>MMULT(C248:G248,Exposures)</x:f>
      </x:c>
    </x:row>
    <x:row r="249" spans="1:10">
      <x:c r="B249" s="9">
        <x:v>45638</x:v>
      </x:c>
      <x:c r="C249" s="10">
        <x:v>0.006713</x:v>
      </x:c>
      <x:c r="D249" s="10">
        <x:v>0.005842</x:v>
      </x:c>
      <x:c r="E249" s="10">
        <x:v>0.000737</x:v>
      </x:c>
      <x:c r="F249" s="10">
        <x:v>3E-06</x:v>
      </x:c>
      <x:c r="G249" s="10">
        <x:v>0.003031</x:v>
      </x:c>
      <x:c r="H249" s="11">
        <x:f>MMULT(C249:G249,Exposures)</x:f>
      </x:c>
    </x:row>
    <x:row r="250" spans="1:10">
      <x:c r="B250" s="9">
        <x:v>45639</x:v>
      </x:c>
      <x:c r="C250" s="10">
        <x:v>0.022876</x:v>
      </x:c>
      <x:c r="D250" s="10">
        <x:v>0.017212</x:v>
      </x:c>
      <x:c r="E250" s="10">
        <x:v>0.013381</x:v>
      </x:c>
      <x:c r="F250" s="10">
        <x:v>0.008704</x:v>
      </x:c>
      <x:c r="G250" s="10">
        <x:v>0.003155</x:v>
      </x:c>
      <x:c r="H250" s="11">
        <x:f>MMULT(C250:G250,Exposures)</x:f>
      </x:c>
    </x:row>
    <x:row r="251" spans="1:10">
      <x:c r="B251" s="9">
        <x:v>45642</x:v>
      </x:c>
      <x:c r="C251" s="10">
        <x:v>0.000983</x:v>
      </x:c>
      <x:c r="D251" s="10">
        <x:v>0.005515</x:v>
      </x:c>
      <x:c r="E251" s="10">
        <x:v>0.013193</x:v>
      </x:c>
      <x:c r="F251" s="10">
        <x:v>0.002927</x:v>
      </x:c>
      <x:c r="G251" s="10">
        <x:v>0.002174</x:v>
      </x:c>
      <x:c r="H251" s="11">
        <x:f>MMULT(C251:G251,Exposures)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51"/>
  <x:sheetViews>
    <x:sheetView showGridLines="0" workbookViewId="0"/>
  </x:sheetViews>
  <x:sheetFormatPr defaultRowHeight="15"/>
  <x:cols>
    <x:col min="1" max="1" width="2.710625" style="0" customWidth="1"/>
    <x:col min="2" max="2" width="34.710625" style="0" customWidth="1"/>
    <x:col min="3" max="4" width="16.710625" style="0" customWidth="1"/>
    <x:col min="5" max="6" width="14.710625" style="0" customWidth="1"/>
    <x:col min="7" max="7" width="16.710625" style="0" customWidth="1"/>
    <x:col min="8" max="8" width="14.710625" style="0" customWidth="1"/>
  </x:cols>
  <x:sheetData>
    <x:row r="1" spans="1:8">
      <x:c r="B1" s="1" t="s">
        <x:v>28</x:v>
      </x:c>
    </x:row>
    <x:row r="2" spans="1:8">
      <x:c r="B2" s="12" t="s">
        <x:v>29</x:v>
      </x:c>
    </x:row>
    <x:row r="3" spans="1:8">
      <x:c r="B3" s="7" t="s">
        <x:v>30</x:v>
      </x:c>
      <x:c r="C3" s="8" t="s">
        <x:v>31</x:v>
      </x:c>
    </x:row>
    <x:row r="4" spans="1:8">
      <x:c r="B4" s="0" t="s">
        <x:v>32</x:v>
      </x:c>
      <x:c r="C4" s="13">
        <x:v>0.99</x:v>
      </x:c>
    </x:row>
    <x:row r="5" spans="1:8">
      <x:c r="B5" s="0" t="s">
        <x:v>33</x:v>
      </x:c>
      <x:c r="C5" s="14">
        <x:v>1</x:v>
      </x:c>
    </x:row>
    <x:row r="6" spans="1:8">
      <x:c r="B6" s="0" t="s">
        <x:v>34</x:v>
      </x:c>
      <x:c r="C6" s="15">
        <x:v>0.94</x:v>
      </x:c>
    </x:row>
    <x:row r="7" spans="1:8">
      <x:c r="B7" s="0" t="s">
        <x:v>35</x:v>
      </x:c>
      <x:c r="C7" s="14">
        <x:v>252</x:v>
      </x:c>
    </x:row>
    <x:row r="9" spans="1:8">
      <x:c r="B9" s="7" t="s">
        <x:v>36</x:v>
      </x:c>
      <x:c r="C9" s="8" t="s">
        <x:v>37</x:v>
      </x:c>
    </x:row>
    <x:row r="10" spans="1:8">
      <x:c r="B10" s="16">
        <x:f>Returns!C1</x:f>
      </x:c>
      <x:c r="C10" s="17">
        <x:v>4000000</x:v>
      </x:c>
    </x:row>
    <x:row r="11" spans="1:8">
      <x:c r="B11" s="16">
        <x:f>Returns!D1</x:f>
      </x:c>
      <x:c r="C11" s="17">
        <x:v>3000000</x:v>
      </x:c>
    </x:row>
    <x:row r="12" spans="1:8">
      <x:c r="B12" s="16">
        <x:f>Returns!E1</x:f>
      </x:c>
      <x:c r="C12" s="17">
        <x:v>1500000</x:v>
      </x:c>
    </x:row>
    <x:row r="13" spans="1:8">
      <x:c r="B13" s="16">
        <x:f>Returns!F1</x:f>
      </x:c>
      <x:c r="C13" s="17">
        <x:v>6000000</x:v>
      </x:c>
    </x:row>
    <x:row r="14" spans="1:8">
      <x:c r="B14" s="16">
        <x:f>Returns!G1</x:f>
      </x:c>
      <x:c r="C14" s="17">
        <x:v>-2000000</x:v>
      </x:c>
    </x:row>
    <x:row r="15" spans="1:8">
      <x:c r="B15" s="0" t="s">
        <x:v>38</x:v>
      </x:c>
      <x:c r="C15" s="11">
        <x:f>SUMPRODUCT(ABS(C10:C14))</x:f>
      </x:c>
    </x:row>
    <x:row r="16" spans="1:8">
      <x:c r="B16" s="0" t="s">
        <x:v>39</x:v>
      </x:c>
      <x:c r="C16" s="11">
        <x:f>SUM(C10:C14)</x:f>
      </x:c>
    </x:row>
    <x:row r="18" spans="1:8">
      <x:c r="B18" s="7" t="s">
        <x:v>40</x:v>
      </x:c>
      <x:c r="C18" s="8" t="s">
        <x:v>41</x:v>
      </x:c>
      <x:c r="D18" s="8" t="s">
        <x:v>42</x:v>
      </x:c>
      <x:c r="E18" s="8" t="s">
        <x:v>43</x:v>
      </x:c>
      <x:c r="F18" s="8" t="s">
        <x:v>44</x:v>
      </x:c>
    </x:row>
    <x:row r="19" spans="1:8">
      <x:c r="B19" s="5" t="s">
        <x:v>45</x:v>
      </x:c>
      <x:c r="C19" s="11">
        <x:f>QF.VAR(ReturnsData,Alpha,B19,Horizon,Exposures)</x:f>
      </x:c>
      <x:c r="D19" s="11">
        <x:f>QF.ES(ReturnsData,Alpha,B19,Horizon,Exposures)</x:f>
      </x:c>
      <x:c r="E19" s="18">
        <x:f>C19/$C$15</x:f>
      </x:c>
      <x:c r="F19" s="19">
        <x:f>D19/C19</x:f>
      </x:c>
    </x:row>
    <x:row r="20" spans="1:8">
      <x:c r="B20" s="5" t="s">
        <x:v>46</x:v>
      </x:c>
      <x:c r="C20" s="11">
        <x:f>QF.VAR(ReturnsData,Alpha,B20,Horizon,Exposures)</x:f>
      </x:c>
      <x:c r="D20" s="11">
        <x:f>QF.ES(ReturnsData,Alpha,B20,Horizon,Exposures)</x:f>
      </x:c>
      <x:c r="E20" s="18">
        <x:f>C20/$C$15</x:f>
      </x:c>
      <x:c r="F20" s="19">
        <x:f>D20/C20</x:f>
      </x:c>
    </x:row>
    <x:row r="21" spans="1:8">
      <x:c r="B21" s="5" t="s">
        <x:v>47</x:v>
      </x:c>
      <x:c r="C21" s="11">
        <x:f>QF.VAR(ReturnsData,Alpha,B21,Horizon,Exposures)</x:f>
      </x:c>
      <x:c r="D21" s="11">
        <x:f>QF.ES(ReturnsData,Alpha,B21,Horizon,Exposures)</x:f>
      </x:c>
      <x:c r="E21" s="18">
        <x:f>C21/$C$15</x:f>
      </x:c>
      <x:c r="F21" s="19">
        <x:f>D21/C21</x:f>
      </x:c>
    </x:row>
    <x:row r="22" spans="1:8">
      <x:c r="B22" s="12" t="s">
        <x:v>48</x:v>
      </x:c>
    </x:row>
    <x:row r="24" spans="1:8">
      <x:c r="B24" s="7" t="s">
        <x:v>49</x:v>
      </x:c>
      <x:c r="C24" s="8" t="s">
        <x:v>31</x:v>
      </x:c>
    </x:row>
    <x:row r="25" spans="1:8">
      <x:c r="B25" s="0" t="s">
        <x:v>50</x:v>
      </x:c>
      <x:c r="C25" s="11">
        <x:f>STDEV(PnL)</x:f>
      </x:c>
    </x:row>
    <x:row r="26" spans="1:8">
      <x:c r="B26" s="0" t="s">
        <x:v>51</x:v>
      </x:c>
      <x:c r="C26" s="19">
        <x:f>SKEW(PnL)</x:f>
      </x:c>
    </x:row>
    <x:row r="27" spans="1:8">
      <x:c r="B27" s="0" t="s">
        <x:v>52</x:v>
      </x:c>
      <x:c r="C27" s="19">
        <x:f>KURT(PnL)</x:f>
      </x:c>
    </x:row>
    <x:row r="28" spans="1:8">
      <x:c r="B28" s="0" t="s">
        <x:v>53</x:v>
      </x:c>
      <x:c r="C28" s="11">
        <x:f>QF.VAR(PnL,Alpha,"HISTORICAL",Horizon)</x:f>
      </x:c>
      <x:c r="D28" s="12" t="s">
        <x:v>55</x:v>
      </x:c>
    </x:row>
    <x:row r="29" spans="1:8">
      <x:c r="B29" s="0" t="s">
        <x:v>54</x:v>
      </x:c>
      <x:c r="C29" s="20">
        <x:f>C28-C19</x:f>
      </x:c>
    </x:row>
    <x:row r="31" spans="1:8">
      <x:c r="B31" s="7" t="s">
        <x:v>56</x:v>
      </x:c>
      <x:c r="C31" s="7" t="s">
        <x:v>57</x:v>
      </x:c>
      <x:c r="D31" s="8" t="s">
        <x:v>57</x:v>
      </x:c>
      <x:c r="E31" s="8" t="s">
        <x:v>57</x:v>
      </x:c>
      <x:c r="F31" s="8" t="s">
        <x:v>57</x:v>
      </x:c>
      <x:c r="G31" s="8" t="s">
        <x:v>57</x:v>
      </x:c>
      <x:c r="H31" s="8" t="s">
        <x:v>57</x:v>
      </x:c>
    </x:row>
    <x:row r="32" spans="1:8">
      <x:c r="B32" s="21">
        <x:f t="array" ref="B32:H38">QF.VAR.DECOMP(ReturnsHeader,Exposures,Alpha,"PARAMETRIC",Horizon,TRUE)</x:f>
      </x:c>
      <x:c r="C32" s="22"/>
      <x:c r="D32" s="22"/>
      <x:c r="E32" s="22"/>
      <x:c r="F32" s="22"/>
      <x:c r="G32" s="22"/>
      <x:c r="H32" s="23"/>
    </x:row>
    <x:row r="33" spans="1:8">
      <x:c r="B33" s="24"/>
      <x:c r="C33" s="25"/>
      <x:c r="D33" s="26"/>
      <x:c r="E33" s="27"/>
      <x:c r="F33" s="25"/>
      <x:c r="G33" s="26"/>
      <x:c r="H33" s="28"/>
    </x:row>
    <x:row r="34" spans="1:8">
      <x:c r="B34" s="24"/>
      <x:c r="C34" s="25"/>
      <x:c r="D34" s="26"/>
      <x:c r="E34" s="27"/>
      <x:c r="F34" s="25"/>
      <x:c r="G34" s="26"/>
      <x:c r="H34" s="28"/>
    </x:row>
    <x:row r="35" spans="1:8">
      <x:c r="B35" s="24"/>
      <x:c r="C35" s="25"/>
      <x:c r="D35" s="26"/>
      <x:c r="E35" s="27"/>
      <x:c r="F35" s="25"/>
      <x:c r="G35" s="26"/>
      <x:c r="H35" s="28"/>
    </x:row>
    <x:row r="36" spans="1:8">
      <x:c r="B36" s="24"/>
      <x:c r="C36" s="25"/>
      <x:c r="D36" s="26"/>
      <x:c r="E36" s="27"/>
      <x:c r="F36" s="25"/>
      <x:c r="G36" s="26"/>
      <x:c r="H36" s="28"/>
    </x:row>
    <x:row r="37" spans="1:8">
      <x:c r="B37" s="24"/>
      <x:c r="C37" s="25"/>
      <x:c r="D37" s="26"/>
      <x:c r="E37" s="27"/>
      <x:c r="F37" s="25"/>
      <x:c r="G37" s="26"/>
      <x:c r="H37" s="28"/>
    </x:row>
    <x:row r="38" spans="1:8">
      <x:c r="B38" s="29"/>
      <x:c r="C38" s="30"/>
      <x:c r="D38" s="31"/>
      <x:c r="E38" s="32"/>
      <x:c r="F38" s="30"/>
      <x:c r="G38" s="31"/>
      <x:c r="H38" s="33"/>
    </x:row>
    <x:row r="39" spans="1:8">
      <x:c r="B39" s="0" t="s">
        <x:v>58</x:v>
      </x:c>
      <x:c r="C39" s="34">
        <x:f>IF(ABS(SUM(D33:D37)-D38)&lt;=0.000001*D38,"OK","CHECK")</x:f>
      </x:c>
    </x:row>
    <x:row r="41" spans="1:8">
      <x:c r="B41" s="7" t="s">
        <x:v>59</x:v>
      </x:c>
      <x:c r="C41" s="7" t="s">
        <x:v>57</x:v>
      </x:c>
      <x:c r="D41" s="8" t="s">
        <x:v>57</x:v>
      </x:c>
      <x:c r="E41" s="8" t="s">
        <x:v>57</x:v>
      </x:c>
      <x:c r="F41" s="8" t="s">
        <x:v>57</x:v>
      </x:c>
      <x:c r="G41" s="8" t="s">
        <x:v>57</x:v>
      </x:c>
      <x:c r="H41" s="8" t="s">
        <x:v>57</x:v>
      </x:c>
    </x:row>
    <x:row r="42" spans="1:8">
      <x:c r="B42" s="21">
        <x:f t="array" ref="B42:H48">QF.VAR.DECOMP(ReturnsHeader,Exposures,Alpha,"HISTORICAL",Horizon,TRUE)</x:f>
      </x:c>
      <x:c r="C42" s="22"/>
      <x:c r="D42" s="22"/>
      <x:c r="E42" s="22"/>
      <x:c r="F42" s="22"/>
      <x:c r="G42" s="22"/>
      <x:c r="H42" s="23"/>
    </x:row>
    <x:row r="43" spans="1:8">
      <x:c r="B43" s="24"/>
      <x:c r="C43" s="25"/>
      <x:c r="D43" s="26"/>
      <x:c r="E43" s="27"/>
      <x:c r="F43" s="25"/>
      <x:c r="G43" s="26"/>
      <x:c r="H43" s="28"/>
    </x:row>
    <x:row r="44" spans="1:8">
      <x:c r="B44" s="24"/>
      <x:c r="C44" s="25"/>
      <x:c r="D44" s="26"/>
      <x:c r="E44" s="27"/>
      <x:c r="F44" s="25"/>
      <x:c r="G44" s="26"/>
      <x:c r="H44" s="28"/>
    </x:row>
    <x:row r="45" spans="1:8">
      <x:c r="B45" s="24"/>
      <x:c r="C45" s="25"/>
      <x:c r="D45" s="26"/>
      <x:c r="E45" s="27"/>
      <x:c r="F45" s="25"/>
      <x:c r="G45" s="26"/>
      <x:c r="H45" s="28"/>
    </x:row>
    <x:row r="46" spans="1:8">
      <x:c r="B46" s="24"/>
      <x:c r="C46" s="25"/>
      <x:c r="D46" s="26"/>
      <x:c r="E46" s="27"/>
      <x:c r="F46" s="25"/>
      <x:c r="G46" s="26"/>
      <x:c r="H46" s="28"/>
    </x:row>
    <x:row r="47" spans="1:8">
      <x:c r="B47" s="24"/>
      <x:c r="C47" s="25"/>
      <x:c r="D47" s="26"/>
      <x:c r="E47" s="27"/>
      <x:c r="F47" s="25"/>
      <x:c r="G47" s="26"/>
      <x:c r="H47" s="28"/>
    </x:row>
    <x:row r="48" spans="1:8">
      <x:c r="B48" s="29"/>
      <x:c r="C48" s="30"/>
      <x:c r="D48" s="31"/>
      <x:c r="E48" s="32"/>
      <x:c r="F48" s="30"/>
      <x:c r="G48" s="31"/>
      <x:c r="H48" s="33"/>
    </x:row>
    <x:row r="49" spans="1:8">
      <x:c r="B49" s="0" t="s">
        <x:v>58</x:v>
      </x:c>
      <x:c r="C49" s="34">
        <x:f>IF(ABS(SUM(D43:D47)-D48)&lt;=0.000001*D48,"OK","CHECK")</x:f>
      </x:c>
    </x:row>
    <x:row r="51" spans="1:8">
      <x:c r="B51" s="12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1"/>
  <x:sheetViews>
    <x:sheetView showGridLines="0" workbookViewId="0"/>
  </x:sheetViews>
  <x:sheetFormatPr defaultRowHeight="15"/>
  <x:cols>
    <x:col min="1" max="1" width="2.710625" style="0" customWidth="1"/>
    <x:col min="2" max="2" width="22.710625" style="0" customWidth="1"/>
    <x:col min="3" max="7" width="12.710625" style="0" customWidth="1"/>
    <x:col min="8" max="8" width="4.710625" style="0" customWidth="1"/>
    <x:col min="9" max="9" width="26.710625" style="0" customWidth="1"/>
    <x:col min="10" max="12" width="12.710625" style="0" customWidth="1"/>
  </x:cols>
  <x:sheetData>
    <x:row r="1" spans="1:12">
      <x:c r="B1" s="1" t="s">
        <x:v>61</x:v>
      </x:c>
    </x:row>
    <x:row r="2" spans="1:12">
      <x:c r="B2" s="12" t="s">
        <x:v>62</x:v>
      </x:c>
    </x:row>
    <x:row r="4" spans="1:12">
      <x:c r="B4" s="7" t="s">
        <x:v>63</x:v>
      </x:c>
      <x:c r="C4" s="7" t="s">
        <x:v>57</x:v>
      </x:c>
      <x:c r="D4" s="8" t="s">
        <x:v>57</x:v>
      </x:c>
      <x:c r="E4" s="8" t="s">
        <x:v>57</x:v>
      </x:c>
      <x:c r="F4" s="8" t="s">
        <x:v>57</x:v>
      </x:c>
      <x:c r="G4" s="8" t="s">
        <x:v>57</x:v>
      </x:c>
      <x:c r="I4" s="7" t="s">
        <x:v>67</x:v>
      </x:c>
      <x:c r="J4" s="8" t="s">
        <x:v>68</x:v>
      </x:c>
      <x:c r="K4" s="8" t="s">
        <x:v>69</x:v>
      </x:c>
      <x:c r="L4" s="8" t="s">
        <x:v>70</x:v>
      </x:c>
    </x:row>
    <x:row r="5" spans="1:12">
      <x:c r="B5" s="7" t="s">
        <x:v>57</x:v>
      </x:c>
      <x:c r="C5" s="35">
        <x:f>Returns!C1</x:f>
      </x:c>
      <x:c r="D5" s="35">
        <x:f>Returns!D1</x:f>
      </x:c>
      <x:c r="E5" s="35">
        <x:f>Returns!E1</x:f>
      </x:c>
      <x:c r="F5" s="35">
        <x:f>Returns!F1</x:f>
      </x:c>
      <x:c r="G5" s="35">
        <x:f>Returns!G1</x:f>
      </x:c>
      <x:c r="I5" s="16">
        <x:f>B6</x:f>
      </x:c>
      <x:c r="J5" s="36">
        <x:f>C11</x:f>
      </x:c>
      <x:c r="K5" s="36">
        <x:f>C21</x:f>
      </x:c>
      <x:c r="L5" s="36">
        <x:f>C31</x:f>
      </x:c>
    </x:row>
    <x:row r="6" spans="1:12">
      <x:c r="B6" s="6">
        <x:f>Returns!C1</x:f>
      </x:c>
      <x:c r="C6" s="37">
        <x:f t="array" ref="C6:G10">QF.COV(ReturnsData,"SAMPLE",,PeriodsPerYear)</x:f>
      </x:c>
      <x:c r="D6" s="38"/>
      <x:c r="E6" s="38"/>
      <x:c r="F6" s="38"/>
      <x:c r="G6" s="39"/>
      <x:c r="I6" s="16">
        <x:f>B7</x:f>
      </x:c>
      <x:c r="J6" s="36">
        <x:f>D11</x:f>
      </x:c>
      <x:c r="K6" s="36">
        <x:f>D21</x:f>
      </x:c>
      <x:c r="L6" s="36">
        <x:f>D31</x:f>
      </x:c>
    </x:row>
    <x:row r="7" spans="1:12">
      <x:c r="B7" s="6">
        <x:f>Returns!D1</x:f>
      </x:c>
      <x:c r="C7" s="40"/>
      <x:c r="D7" s="41"/>
      <x:c r="E7" s="41"/>
      <x:c r="F7" s="41"/>
      <x:c r="G7" s="42"/>
      <x:c r="I7" s="16">
        <x:f>B8</x:f>
      </x:c>
      <x:c r="J7" s="36">
        <x:f>E11</x:f>
      </x:c>
      <x:c r="K7" s="36">
        <x:f>E21</x:f>
      </x:c>
      <x:c r="L7" s="36">
        <x:f>E31</x:f>
      </x:c>
    </x:row>
    <x:row r="8" spans="1:12">
      <x:c r="B8" s="6">
        <x:f>Returns!E1</x:f>
      </x:c>
      <x:c r="C8" s="40"/>
      <x:c r="D8" s="41"/>
      <x:c r="E8" s="41"/>
      <x:c r="F8" s="41"/>
      <x:c r="G8" s="42"/>
      <x:c r="I8" s="16">
        <x:f>B9</x:f>
      </x:c>
      <x:c r="J8" s="36">
        <x:f>F11</x:f>
      </x:c>
      <x:c r="K8" s="36">
        <x:f>F21</x:f>
      </x:c>
      <x:c r="L8" s="36">
        <x:f>F31</x:f>
      </x:c>
    </x:row>
    <x:row r="9" spans="1:12">
      <x:c r="B9" s="6">
        <x:f>Returns!F1</x:f>
      </x:c>
      <x:c r="C9" s="40"/>
      <x:c r="D9" s="41"/>
      <x:c r="E9" s="41"/>
      <x:c r="F9" s="41"/>
      <x:c r="G9" s="42"/>
      <x:c r="I9" s="16">
        <x:f>B10</x:f>
      </x:c>
      <x:c r="J9" s="36">
        <x:f>G11</x:f>
      </x:c>
      <x:c r="K9" s="36">
        <x:f>G21</x:f>
      </x:c>
      <x:c r="L9" s="36">
        <x:f>G31</x:f>
      </x:c>
    </x:row>
    <x:row r="10" spans="1:12">
      <x:c r="B10" s="6">
        <x:f>Returns!G1</x:f>
      </x:c>
      <x:c r="C10" s="43"/>
      <x:c r="D10" s="44"/>
      <x:c r="E10" s="44"/>
      <x:c r="F10" s="44"/>
      <x:c r="G10" s="45"/>
      <x:c r="I10" s="0" t="s">
        <x:v>71</x:v>
      </x:c>
      <x:c r="J10" s="19">
        <x:f>D6/SQRT(C6*D7)</x:f>
      </x:c>
      <x:c r="K10" s="19">
        <x:f>D16/SQRT(C16*D17)</x:f>
      </x:c>
      <x:c r="L10" s="19">
        <x:f>D26/SQRT(C26*D27)</x:f>
      </x:c>
    </x:row>
    <x:row r="11" spans="1:12">
      <x:c r="B11" s="0" t="s">
        <x:v>64</x:v>
      </x:c>
      <x:c r="C11" s="36">
        <x:f>SQRT(C6)</x:f>
      </x:c>
      <x:c r="D11" s="36">
        <x:f>SQRT(D7)</x:f>
      </x:c>
      <x:c r="E11" s="36">
        <x:f>SQRT(E8)</x:f>
      </x:c>
      <x:c r="F11" s="36">
        <x:f>SQRT(F9)</x:f>
      </x:c>
      <x:c r="G11" s="36">
        <x:f>SQRT(G10)</x:f>
      </x:c>
    </x:row>
    <x:row r="12" spans="1:12">
      <x:c r="I12" s="12" t="s">
        <x:v>72</x:v>
      </x:c>
    </x:row>
    <x:row r="14" spans="1:12">
      <x:c r="B14" s="7" t="s">
        <x:v>65</x:v>
      </x:c>
      <x:c r="C14" s="7" t="s">
        <x:v>57</x:v>
      </x:c>
      <x:c r="D14" s="8" t="s">
        <x:v>57</x:v>
      </x:c>
      <x:c r="E14" s="8" t="s">
        <x:v>57</x:v>
      </x:c>
      <x:c r="F14" s="8" t="s">
        <x:v>57</x:v>
      </x:c>
      <x:c r="G14" s="8" t="s">
        <x:v>57</x:v>
      </x:c>
    </x:row>
    <x:row r="15" spans="1:12">
      <x:c r="B15" s="7" t="s">
        <x:v>57</x:v>
      </x:c>
      <x:c r="C15" s="35">
        <x:f>Returns!C1</x:f>
      </x:c>
      <x:c r="D15" s="35">
        <x:f>Returns!D1</x:f>
      </x:c>
      <x:c r="E15" s="35">
        <x:f>Returns!E1</x:f>
      </x:c>
      <x:c r="F15" s="35">
        <x:f>Returns!F1</x:f>
      </x:c>
      <x:c r="G15" s="35">
        <x:f>Returns!G1</x:f>
      </x:c>
    </x:row>
    <x:row r="16" spans="1:12">
      <x:c r="B16" s="6">
        <x:f>Returns!C1</x:f>
      </x:c>
      <x:c r="C16" s="37">
        <x:f t="array" ref="C16:G20">QF.COV(ReturnsData,"EWMA",Lambda,PeriodsPerYear)</x:f>
      </x:c>
      <x:c r="D16" s="38"/>
      <x:c r="E16" s="38"/>
      <x:c r="F16" s="38"/>
      <x:c r="G16" s="39"/>
    </x:row>
    <x:row r="17" spans="1:12">
      <x:c r="B17" s="6">
        <x:f>Returns!D1</x:f>
      </x:c>
      <x:c r="C17" s="40"/>
      <x:c r="D17" s="41"/>
      <x:c r="E17" s="41"/>
      <x:c r="F17" s="41"/>
      <x:c r="G17" s="42"/>
    </x:row>
    <x:row r="18" spans="1:12">
      <x:c r="B18" s="6">
        <x:f>Returns!E1</x:f>
      </x:c>
      <x:c r="C18" s="40"/>
      <x:c r="D18" s="41"/>
      <x:c r="E18" s="41"/>
      <x:c r="F18" s="41"/>
      <x:c r="G18" s="42"/>
    </x:row>
    <x:row r="19" spans="1:12">
      <x:c r="B19" s="6">
        <x:f>Returns!F1</x:f>
      </x:c>
      <x:c r="C19" s="40"/>
      <x:c r="D19" s="41"/>
      <x:c r="E19" s="41"/>
      <x:c r="F19" s="41"/>
      <x:c r="G19" s="42"/>
    </x:row>
    <x:row r="20" spans="1:12">
      <x:c r="B20" s="6">
        <x:f>Returns!G1</x:f>
      </x:c>
      <x:c r="C20" s="43"/>
      <x:c r="D20" s="44"/>
      <x:c r="E20" s="44"/>
      <x:c r="F20" s="44"/>
      <x:c r="G20" s="45"/>
    </x:row>
    <x:row r="21" spans="1:12">
      <x:c r="B21" s="0" t="s">
        <x:v>64</x:v>
      </x:c>
      <x:c r="C21" s="36">
        <x:f>SQRT(C16)</x:f>
      </x:c>
      <x:c r="D21" s="36">
        <x:f>SQRT(D17)</x:f>
      </x:c>
      <x:c r="E21" s="36">
        <x:f>SQRT(E18)</x:f>
      </x:c>
      <x:c r="F21" s="36">
        <x:f>SQRT(F19)</x:f>
      </x:c>
      <x:c r="G21" s="36">
        <x:f>SQRT(G20)</x:f>
      </x:c>
    </x:row>
    <x:row r="24" spans="1:12">
      <x:c r="B24" s="7" t="s">
        <x:v>66</x:v>
      </x:c>
      <x:c r="C24" s="7" t="s">
        <x:v>57</x:v>
      </x:c>
      <x:c r="D24" s="8" t="s">
        <x:v>57</x:v>
      </x:c>
      <x:c r="E24" s="8" t="s">
        <x:v>57</x:v>
      </x:c>
      <x:c r="F24" s="8" t="s">
        <x:v>57</x:v>
      </x:c>
      <x:c r="G24" s="8" t="s">
        <x:v>57</x:v>
      </x:c>
    </x:row>
    <x:row r="25" spans="1:12">
      <x:c r="B25" s="7" t="s">
        <x:v>57</x:v>
      </x:c>
      <x:c r="C25" s="35">
        <x:f>Returns!C1</x:f>
      </x:c>
      <x:c r="D25" s="35">
        <x:f>Returns!D1</x:f>
      </x:c>
      <x:c r="E25" s="35">
        <x:f>Returns!E1</x:f>
      </x:c>
      <x:c r="F25" s="35">
        <x:f>Returns!F1</x:f>
      </x:c>
      <x:c r="G25" s="35">
        <x:f>Returns!G1</x:f>
      </x:c>
    </x:row>
    <x:row r="26" spans="1:12">
      <x:c r="B26" s="6">
        <x:f>Returns!C1</x:f>
      </x:c>
      <x:c r="C26" s="37">
        <x:f t="array" ref="C26:G30">QF.COV(ReturnsData,"LW_CC",,PeriodsPerYear)</x:f>
      </x:c>
      <x:c r="D26" s="38"/>
      <x:c r="E26" s="38"/>
      <x:c r="F26" s="38"/>
      <x:c r="G26" s="39"/>
    </x:row>
    <x:row r="27" spans="1:12">
      <x:c r="B27" s="6">
        <x:f>Returns!D1</x:f>
      </x:c>
      <x:c r="C27" s="40"/>
      <x:c r="D27" s="41"/>
      <x:c r="E27" s="41"/>
      <x:c r="F27" s="41"/>
      <x:c r="G27" s="42"/>
    </x:row>
    <x:row r="28" spans="1:12">
      <x:c r="B28" s="6">
        <x:f>Returns!E1</x:f>
      </x:c>
      <x:c r="C28" s="40"/>
      <x:c r="D28" s="41"/>
      <x:c r="E28" s="41"/>
      <x:c r="F28" s="41"/>
      <x:c r="G28" s="42"/>
    </x:row>
    <x:row r="29" spans="1:12">
      <x:c r="B29" s="6">
        <x:f>Returns!F1</x:f>
      </x:c>
      <x:c r="C29" s="40"/>
      <x:c r="D29" s="41"/>
      <x:c r="E29" s="41"/>
      <x:c r="F29" s="41"/>
      <x:c r="G29" s="42"/>
    </x:row>
    <x:row r="30" spans="1:12">
      <x:c r="B30" s="6">
        <x:f>Returns!G1</x:f>
      </x:c>
      <x:c r="C30" s="43"/>
      <x:c r="D30" s="44"/>
      <x:c r="E30" s="44"/>
      <x:c r="F30" s="44"/>
      <x:c r="G30" s="45"/>
    </x:row>
    <x:row r="31" spans="1:12">
      <x:c r="B31" s="0" t="s">
        <x:v>64</x:v>
      </x:c>
      <x:c r="C31" s="36">
        <x:f>SQRT(C26)</x:f>
      </x:c>
      <x:c r="D31" s="36">
        <x:f>SQRT(D27)</x:f>
      </x:c>
      <x:c r="E31" s="36">
        <x:f>SQRT(E28)</x:f>
      </x:c>
      <x:c r="F31" s="36">
        <x:f>SQRT(F29)</x:f>
      </x:c>
      <x:c r="G31" s="36">
        <x:f>SQRT(G30)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0">
      <vt:lpstr>About</vt:lpstr>
      <vt:lpstr>Returns</vt:lpstr>
      <vt:lpstr>Portfolio</vt:lpstr>
      <vt:lpstr>Covariance</vt:lpstr>
      <vt:lpstr>About!Print_Area</vt:lpstr>
      <vt:lpstr>About!Print_Titles</vt:lpstr>
      <vt:lpstr>Returns!Print_Area</vt:lpstr>
      <vt:lpstr>Returns!Print_Titles</vt:lpstr>
      <vt:lpstr>Portfolio!Print_Area</vt:lpstr>
      <vt:lpstr>Portfolio!Print_Titles</vt:lpstr>
      <vt:lpstr>Covariance!Print_Area</vt:lpstr>
      <vt:lpstr>Covariance!Print_Titles</vt:lpstr>
      <vt:lpstr>ReturnsData</vt:lpstr>
      <vt:lpstr>ReturnsHeader</vt:lpstr>
      <vt:lpstr>PnL</vt:lpstr>
      <vt:lpstr>Alpha</vt:lpstr>
      <vt:lpstr>Horizon</vt:lpstr>
      <vt:lpstr>Lambda</vt:lpstr>
      <vt:lpstr>PeriodsPerYear</vt:lpstr>
      <vt:lpstr>Exposures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ap:HeadingPairs>
  <ap:DocSecurity>0</ap:DocSecurity>
  <ap:ScaleCrop>false</ap:ScaleCrop>
</ap:Properties>
</file>