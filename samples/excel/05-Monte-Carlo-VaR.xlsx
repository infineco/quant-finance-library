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officeDocument/2006/relationships/extended-properties" Target="/docProps/app.xml" Id="rId2" /><Relationship Type="http://schemas.openxmlformats.org/package/2006/relationships/metadata/core-properties" Target="/package/services/metadata/core-properties/core.psmdcp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Returns" sheetId="2" r:id="rId3"/>
    <x:sheet name="MonteCarlo" sheetId="3" r:id="rId4"/>
  </x:sheets>
  <x:definedNames>
    <x:definedName name="ReturnsHeader">'Returns'!$C$1:$E$251</x:definedName>
    <x:definedName name="Alpha">'MonteCarlo'!$C$4</x:definedName>
    <x:definedName name="Scenarios">'MonteCarlo'!$C$5</x:definedName>
    <x:definedName name="Seed">'MonteCarlo'!$C$6</x:definedName>
    <x:definedName name="Horizon">'MonteCarlo'!$C$7</x:definedName>
    <x:definedName name="Rate">'MonteCarlo'!$C$8</x:definedName>
    <x:definedName name="CovMethod">'MonteCarlo'!$C$9</x:definedName>
    <x:definedName name="Lambda">'MonteCarlo'!$C$10</x:definedName>
    <x:definedName name="CovHandle">'MonteCarlo'!$C$11</x:definedName>
    <x:definedName name="Spots">'MonteCarlo'!$C$14:$C$16</x:definedName>
    <x:definedName name="Vols">'MonteCarlo'!$D$14:$D$16</x:definedName>
    <x:definedName name="Positions">'MonteCarlo'!$B$18:$G$25</x:definedName>
  </x:definedNames>
  <x:calcPr calcId="125725" fullCalcOnLoad="1"/>
</x:workbook>
</file>

<file path=xl/calcChain.xml><?xml version="1.0" encoding="utf-8"?>
<x:calcChain xmlns:x="http://schemas.openxmlformats.org/spreadsheetml/2006/main">
  <x:c r="B27" i="1"/>
  <x:c r="B28" i="1"/>
  <x:c r="C11" i="3"/>
  <x:c r="B14" i="3"/>
  <x:c r="B15" i="3"/>
  <x:c r="B16" i="3"/>
  <x:c r="B29" i="3" a="1"/>
  <x:c r="B29" i="3"/>
  <x:c r="C29" i="3"/>
  <x:c r="D29" i="3"/>
  <x:c r="B30" i="3"/>
  <x:c r="C30" i="3"/>
  <x:c r="D30" i="3"/>
  <x:c r="B31" i="3"/>
  <x:c r="C31" i="3"/>
  <x:c r="D31" i="3"/>
  <x:c r="F29" i="3" a="1"/>
  <x:c r="F29" i="3"/>
  <x:c r="G29" i="3"/>
  <x:c r="H29" i="3"/>
  <x:c r="F30" i="3"/>
  <x:c r="G30" i="3"/>
  <x:c r="H30" i="3"/>
  <x:c r="F31" i="3"/>
  <x:c r="G31" i="3"/>
  <x:c r="H31" i="3"/>
  <x:c r="J29" i="3" a="1"/>
  <x:c r="J29" i="3"/>
  <x:c r="K29" i="3"/>
  <x:c r="L29" i="3"/>
  <x:c r="J30" i="3"/>
  <x:c r="K30" i="3"/>
  <x:c r="L30" i="3"/>
  <x:c r="J31" i="3"/>
  <x:c r="K31" i="3"/>
  <x:c r="L31" i="3"/>
  <x:c r="C34" i="3"/>
  <x:c r="D34" i="3"/>
  <x:c r="E34" i="3"/>
  <x:c r="C35" i="3"/>
  <x:c r="D35" i="3"/>
  <x:c r="E35" i="3"/>
  <x:c r="C36" i="3"/>
  <x:c r="D36" i="3"/>
  <x:c r="E36" i="3"/>
  <x:c r="C37" i="3"/>
  <x:c r="C38" i="3"/>
  <x:c r="C40" i="3"/>
</x:calcChain>
</file>

<file path=xl/sharedStrings.xml><?xml version="1.0" encoding="utf-8"?>
<x:sst xmlns:x="http://schemas.openxmlformats.org/spreadsheetml/2006/main">
  <x:si>
    <x:t>Monte Carlo VaR</x:t>
  </x:si>
  <x:si>
    <x:t>Value-at-Risk and Expected Shortfall of a book of shares and European options by Monte Carlo full revaluation (QF.MCVAR): correlated scenarios from a covariance kept by the add-in (QF.COV.OBJ), every position repriced in every scenario, so the option curvature is captured.</x:t>
  </x:si>
  <x:si>
    <x:t>What is in this workbook</x:t>
  </x:si>
  <x:si>
    <x:t xml:space="preserve">   Returns: 250 days of synthetic daily log returns of three assets (the covariance of the log returns is what QF.MCVAR needs).</x:t>
  </x:si>
  <x:si>
    <x:t xml:space="preserve">   MonteCarlo: the settings, the covariance handle, spots and volatilities, the positions table, and three Monte Carlo runs side by side (PHILOX with the seed, PHILOX with seed + 1, SOBOL with the seed), then a comparison table.</x:t>
  </x:si>
  <x:si>
    <x:t>QF.MCVAR is asynchronous: the cell shows #N/A while the scenarios are computed in the background and Excel stays responsive; the result then replaces it, and so do the cells that depend on it. Do not wrap it in IFERROR or IFNA. Ctrl+Alt+F9 recomputes all of them.</x:t>
  </x:si>
  <x:si>
    <x:t>QF.MCVAR is deterministic: same inputs and same seed give the same digits, whatever the number of cores. Change the seed for an independent estimate; keep it to compare two books. The standard error shrinks as one over the square root of the number of scenarios.</x:t>
  </x:si>
  <x:si>
    <x:t>PHILOX is pseudo-random; SOBOL is scrambled quasi-random, usually closer to the true value for the same number of scenarios (use a power of two; 131072 = 2^17). Its standard error is only indicative.</x:t>
  </x:si>
  <x:si>
    <x:t>The covariance object is named SAMPLE05_COV: object names are global to the Excel session, so do not open two copies of this workbook at once.</x:t>
  </x:si>
  <x:si>
    <x:t>Functions used: QF.COV.OBJ, QF.MCVAR.</x:t>
  </x:si>
  <x:si>
    <x:t>Before you start</x:t>
  </x:si>
  <x:si>
    <x:t xml:space="preserve">   1. The numbers appear only when the InFine QuantFinance add-in (an Excel-DNA .xll, Windows, 64-bit Excel) is loaded. Without it, every QF.* cell shows #NAME?.</x:t>
  </x:si>
  <x:si>
    <x:t xml:space="preserve">   2. Build or download the packed add-in, unblock the file (right-click, Properties, Unblock), then File &gt; Options &gt; Add-ins &gt; Manage Excel Add-ins &gt; Go &gt; Browse and pick the .xll.</x:t>
  </x:si>
  <x:si>
    <x:t xml:space="preserve">   3. Open this workbook. If cells still show #NAME? or #REF!, press Ctrl+Alt+F9 (full recalculation): objects such as curves and covariance matrices are kept in memory and are rebuilt by the cells that create them.</x:t>
  </x:si>
  <x:si>
    <x:t xml:space="preserve">   4. Full instructions, the function reference and the conventions are in docs/excel.md:</x:t>
  </x:si>
  <x:si>
    <x:t xml:space="preserve">   https://github.com/infineco/quant-finance-library/blob/main/docs/excel.md</x:t>
  </x:si>
  <x:si>
    <x:t>Colour code</x:t>
  </x:si>
  <x:si>
    <x:t xml:space="preserve">   Blue on pale yellow: an input, type over it.</x:t>
  </x:si>
  <x:si>
    <x:t xml:space="preserve">   Black on white: a formula, do not overwrite it. Cells that start a QF.* block are Ctrl+Shift+Enter array formulas ({=...}).</x:t>
  </x:si>
  <x:si>
    <x:t>Diagnostics</x:t>
  </x:si>
  <x:si>
    <x:t xml:space="preserve">   Tip: a cell can only show #VALUE!, #NUM! or #REF!. When a QF.* cell fails, type =QF.LASTERROR() in a free cell to read the reason, with the function and the argument name (it is the last failure of any QF function).</x:t>
  </x:si>
  <x:si>
    <x:t>All market data in these workbooks is synthetic or illustrative; it is not a recommendation and not a market quote.</x:t>
  </x:si>
  <x:si>
    <x:t>Date</x:t>
  </x:si>
  <x:si>
    <x:t>ESTOXX50</x:t>
  </x:si>
  <x:si>
    <x:t>SPX</x:t>
  </x:si>
  <x:si>
    <x:t>GOLD</x:t>
  </x:si>
  <x:si>
    <x:t>Daily log returns (synthetic, the first three assets of the portfolio-risk sample). The header row gives the asset names used by the positions table.</x:t>
  </x:si>
  <x:si>
    <x:t>Monte Carlo VaR and ES</x:t>
  </x:si>
  <x:si>
    <x:t>Yellow cells are inputs. The three result blocks are asynchronous: #N/A while computing, then the numbers.</x:t>
  </x:si>
  <x:si>
    <x:t>Settings</x:t>
  </x:si>
  <x:si>
    <x:t>Value</x:t>
  </x:si>
  <x:si>
    <x:t>Confidence level</x:t>
  </x:si>
  <x:si>
    <x:t>Scenarios</x:t>
  </x:si>
  <x:si>
    <x:t>Seed</x:t>
  </x:si>
  <x:si>
    <x:t>Horizon (days)</x:t>
  </x:si>
  <x:si>
    <x:t>Risk-free rate (continuous)</x:t>
  </x:si>
  <x:si>
    <x:t>Covariance method</x:t>
  </x:si>
  <x:si>
    <x:t>EWMA</x:t>
  </x:si>
  <x:si>
    <x:t>EWMA decay lambda</x:t>
  </x:si>
  <x:si>
    <x:t>Covariance handle</x:t>
  </x:si>
  <x:si>
    <x:t>per-period (daily) covariance of the log returns; the header row names the assets</x:t>
  </x:si>
  <x:si>
    <x:t>Asset</x:t>
  </x:si>
  <x:si>
    <x:t>Spot</x:t>
  </x:si>
  <x:si>
    <x:t>Volatility</x:t>
  </x:si>
  <x:si>
    <x:t>implied volatilities are held fixed in the scenarios; only the spots move</x:t>
  </x:si>
  <x:si>
    <x:t>Type</x:t>
  </x:si>
  <x:si>
    <x:t>Quantity</x:t>
  </x:si>
  <x:si>
    <x:t>Strike</x:t>
  </x:si>
  <x:si>
    <x:t>Maturity (years)</x:t>
  </x:si>
  <x:si>
    <x:t>Dividend yield</x:t>
  </x:si>
  <x:si>
    <x:t>SPOT</x:t>
  </x:si>
  <x:si>
    <x:t>-</x:t>
  </x:si>
  <x:si>
    <x:t>PUT</x:t>
  </x:si>
  <x:si>
    <x:t>CALL</x:t>
  </x:si>
  <x:si>
    <x:t>Quantity is in units (negative is short). Strike, maturity and dividend yield are not read for SPOT rows (a dash is shown); the first row of titles is skipped.</x:t>
  </x:si>
  <x:si>
    <x:t>PHILOX, seed</x:t>
  </x:si>
  <x:si>
    <x:t/>
  </x:si>
  <x:si>
    <x:t>PHILOX, seed + 1</x:t>
  </x:si>
  <x:si>
    <x:t>SOBOL, seed</x:t>
  </x:si>
  <x:si>
    <x:t>Comparison</x:t>
  </x:si>
  <x:si>
    <x:t>VaR</x:t>
  </x:si>
  <x:si>
    <x:t>ES</x:t>
  </x:si>
  <x:si>
    <x:t>VaR std error</x:t>
  </x:si>
  <x:si>
    <x:t>VaR: seed vs seed + 1</x:t>
  </x:si>
  <x:si>
    <x:t>two independent PHILOX estimates differ by about their standard error</x:t>
  </x:si>
  <x:si>
    <x:t>VaR: SOBOL vs PHILOX</x:t>
  </x:si>
  <x:si>
    <x:t>Status</x:t>
  </x:si>
  <x:si>
    <x:t>Std error: scenarios are split in 20 blocks; it reads n/a below 2000 scenarios and describes PHILOX sampling error.</x:t>
  </x:si>
</x:sst>
</file>

<file path=xl/styles.xml><?xml version="1.0" encoding="utf-8"?>
<x:styleSheet xmlns:x="http://schemas.openxmlformats.org/spreadsheetml/2006/main">
  <x:numFmts count="9">
    <x:numFmt numFmtId="0" formatCode=""/>
    <x:numFmt numFmtId="164" formatCode="dd-mmm-yyyy"/>
    <x:numFmt numFmtId="165" formatCode="0.00%"/>
    <x:numFmt numFmtId="166" formatCode="0.0%"/>
    <x:numFmt numFmtId="167" formatCode="#,##0"/>
    <x:numFmt numFmtId="168" formatCode="0"/>
    <x:numFmt numFmtId="169" formatCode="0.00"/>
    <x:numFmt numFmtId="170" formatCode="#,##0.00"/>
    <x:numFmt numFmtId="171" formatCode="#,##0.0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F3864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u val="single"/>
      <x:vertAlign val="baseline"/>
      <x:sz val="11"/>
      <x:color theme="10"/>
      <x:name val="Calibri"/>
      <x:family val="2"/>
    </x:font>
    <x:font>
      <x:vertAlign val="baseline"/>
      <x:sz val="11"/>
      <x:color rgb="FF0000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thin">
        <x:color rgb="FFBFBFB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none">
        <x:color rgb="FF000000"/>
      </x:top>
      <x:bottom style="thin">
        <x:color rgb="FFBFBFBF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7" fontId="4" fillId="3" borderId="1" applyNumberFormat="1" applyFill="0" applyBorder="1" applyAlignment="1" applyProtection="1">
      <x:protection locked="1" hidden="0"/>
    </x:xf>
    <x:xf numFmtId="168" fontId="4" fillId="3" borderId="1" applyNumberFormat="1" applyFill="0" applyBorder="1" applyAlignment="1" applyProtection="1">
      <x:protection locked="1" hidden="0"/>
    </x:xf>
    <x:xf numFmtId="169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70" fontId="4" fillId="3" borderId="1" applyNumberFormat="1" applyFill="0" applyBorder="1" applyAlignment="1" applyProtection="1">
      <x:protection locked="1" hidden="0"/>
    </x:xf>
    <x:xf numFmtId="170" fontId="5" fillId="4" borderId="2" applyNumberFormat="1" applyFill="0" applyBorder="1" applyAlignment="1" applyProtection="1">
      <x:protection locked="1" hidden="0"/>
    </x:xf>
    <x:xf numFmtId="170" fontId="5" fillId="4" borderId="3" applyNumberFormat="1" applyFill="0" applyBorder="1" applyAlignment="1" applyProtection="1">
      <x:protection locked="1" hidden="0"/>
    </x:xf>
    <x:xf numFmtId="171" fontId="5" fillId="4" borderId="4" applyNumberFormat="1" applyFill="0" applyBorder="1" applyAlignment="1" applyProtection="1">
      <x:protection locked="1" hidden="0"/>
    </x:xf>
    <x:xf numFmtId="170" fontId="5" fillId="0" borderId="5" applyNumberFormat="1" applyFill="1" applyBorder="1" applyAlignment="1" applyProtection="1">
      <x:protection locked="1" hidden="0"/>
    </x:xf>
    <x:xf numFmtId="170" fontId="0" fillId="0" borderId="0" applyNumberFormat="1" applyFill="1" applyBorder="0" applyAlignment="1" applyProtection="1">
      <x:protection locked="1" hidden="0"/>
    </x:xf>
    <x:xf numFmtId="171" fontId="0" fillId="0" borderId="6" applyNumberFormat="1" applyFill="1" applyBorder="1" applyAlignment="1" applyProtection="1">
      <x:protection locked="1" hidden="0"/>
    </x:xf>
    <x:xf numFmtId="170" fontId="5" fillId="0" borderId="7" applyNumberFormat="1" applyFill="1" applyBorder="1" applyAlignment="1" applyProtection="1">
      <x:protection locked="1" hidden="0"/>
    </x:xf>
    <x:xf numFmtId="170" fontId="0" fillId="0" borderId="8" applyNumberFormat="1" applyFill="1" applyBorder="1" applyAlignment="1" applyProtection="1">
      <x:protection locked="1" hidden="0"/>
    </x:xf>
    <x:xf numFmtId="171" fontId="0" fillId="0" borderId="9" applyNumberFormat="1" applyFill="1" applyBorder="1" applyAlignment="1" applyProtection="1">
      <x:protection locked="1" hidden="0"/>
    </x:xf>
    <x:xf numFmtId="170" fontId="0" fillId="0" borderId="1" applyNumberFormat="1" applyFill="1" applyBorder="1" applyAlignment="1" applyProtection="1">
      <x:protection locked="1" hidden="0"/>
    </x:xf>
    <x:xf numFmtId="171" fontId="0" fillId="0" borderId="1" applyNumberFormat="1" applyFill="1" applyBorder="1" applyAlignment="1" applyProtection="1">
      <x:protection locked="1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4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9" fontId="4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5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0" fontId="5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1" fontId="5" fillId="4" borderId="4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5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5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7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calcChain" Target="/xl/calcChain.xml" Id="rId8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/infineco/quant-finance-library/blob/main/docs/excel.md" TargetMode="Externa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F7F7F"/>
    <x:outlinePr summaryBelow="1" summaryRight="1"/>
  </x:sheetPr>
  <x:dimension ref="A1:B31"/>
  <x:sheetViews>
    <x:sheetView showGridLines="0" workbookViewId="0"/>
  </x:sheetViews>
  <x:sheetFormatPr defaultRowHeight="15"/>
  <x:cols>
    <x:col min="1" max="1" width="2.710625" style="0" customWidth="1"/>
    <x:col min="2" max="2" width="118.710625" style="0" customWidth="1"/>
  </x:cols>
  <x:sheetData>
    <x:row r="2" spans="1:2">
      <x:c r="B2" s="1" t="s">
        <x:v>0</x:v>
      </x:c>
    </x:row>
    <x:row r="3" spans="1:2">
      <x:c r="B3" s="2" t="s">
        <x:v>1</x:v>
      </x:c>
    </x:row>
    <x:row r="5" spans="1:2">
      <x:c r="B5" s="3" t="s">
        <x:v>2</x:v>
      </x:c>
    </x:row>
    <x:row r="6" spans="1:2">
      <x:c r="B6" s="2" t="s">
        <x:v>3</x:v>
      </x:c>
    </x:row>
    <x:row r="7" spans="1:2">
      <x:c r="B7" s="2" t="s">
        <x:v>4</x:v>
      </x:c>
    </x:row>
    <x:row r="9" spans="1:2">
      <x:c r="B9" s="2" t="s">
        <x:v>5</x:v>
      </x:c>
    </x:row>
    <x:row r="10" spans="1:2">
      <x:c r="B10" s="2" t="s">
        <x:v>6</x:v>
      </x:c>
    </x:row>
    <x:row r="11" spans="1:2">
      <x:c r="B11" s="2" t="s">
        <x:v>7</x:v>
      </x:c>
    </x:row>
    <x:row r="12" spans="1:2">
      <x:c r="B12" s="2" t="s">
        <x:v>8</x:v>
      </x:c>
    </x:row>
    <x:row r="13" spans="1:2">
      <x:c r="B13" s="2" t="s">
        <x:v>9</x:v>
      </x:c>
    </x:row>
    <x:row r="15" spans="1:2">
      <x:c r="B15" s="3" t="s">
        <x:v>10</x:v>
      </x:c>
    </x:row>
    <x:row r="16" spans="1:2">
      <x:c r="B16" s="2" t="s">
        <x:v>11</x:v>
      </x:c>
    </x:row>
    <x:row r="17" spans="1:2">
      <x:c r="B17" s="2" t="s">
        <x:v>12</x:v>
      </x:c>
    </x:row>
    <x:row r="18" spans="1:2">
      <x:c r="B18" s="2" t="s">
        <x:v>13</x:v>
      </x:c>
    </x:row>
    <x:row r="19" spans="1:2">
      <x:c r="B19" s="2" t="s">
        <x:v>14</x:v>
      </x:c>
    </x:row>
    <x:row r="20" spans="1:2">
      <x:c r="B20" s="4" t="s">
        <x:v>15</x:v>
      </x:c>
    </x:row>
    <x:row r="22" spans="1:2">
      <x:c r="B22" s="3" t="s">
        <x:v>16</x:v>
      </x:c>
    </x:row>
    <x:row r="23" spans="1:2">
      <x:c r="B23" s="5" t="s">
        <x:v>17</x:v>
      </x:c>
    </x:row>
    <x:row r="24" spans="1:2">
      <x:c r="B24" s="0" t="s">
        <x:v>18</x:v>
      </x:c>
    </x:row>
    <x:row r="26" spans="1:2">
      <x:c r="B26" s="3" t="s">
        <x:v>19</x:v>
      </x:c>
    </x:row>
    <x:row r="27" spans="1:2">
      <x:c r="B27" s="6">
        <x:f>"   Add-in status: "&amp;IF(ISERROR(QF.VERSION()),"NOT LOADED (QF.* cells show #NAME?)","loaded, version "&amp;QF.VERSION())</x:f>
      </x:c>
    </x:row>
    <x:row r="28" spans="1:2">
      <x:c r="B28" s="0">
        <x:f>"   Last error reported by the add-in (QF.LASTERROR): "&amp;IFERROR(QF.LASTERROR(),"(add-in not loaded)")</x:f>
      </x:c>
    </x:row>
    <x:row r="29" spans="1:2">
      <x:c r="B29" s="2" t="s">
        <x:v>20</x:v>
      </x:c>
    </x:row>
    <x:row r="31" spans="1:2">
      <x:c r="B31" s="2" t="s">
        <x:v>21</x:v>
      </x:c>
    </x:row>
  </x:sheetData>
  <x:hyperlinks>
    <x:hyperlink ref="B20" r:id="rId7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1"/>
  <x:sheetViews>
    <x:sheetView showGridLines="0" workbookViewId="0">
      <x:pane xSplit="0" ySplit="1" topLeftCell="A2" activePane="bottomLeft" state="frozenSplit"/>
    </x:sheetView>
  </x:sheetViews>
  <x:sheetFormatPr defaultRowHeight="15"/>
  <x:cols>
    <x:col min="1" max="1" width="2.710625" style="0" customWidth="1"/>
    <x:col min="2" max="2" width="14.710625" style="0" customWidth="1"/>
    <x:col min="3" max="5" width="11.710625" style="0" customWidth="1"/>
  </x:cols>
  <x:sheetData>
    <x:row r="1" spans="1:7">
      <x:c r="B1" s="7" t="s">
        <x:v>22</x:v>
      </x:c>
      <x:c r="C1" s="8" t="s">
        <x:v>23</x:v>
      </x:c>
      <x:c r="D1" s="8" t="s">
        <x:v>24</x:v>
      </x:c>
      <x:c r="E1" s="8" t="s">
        <x:v>25</x:v>
      </x:c>
    </x:row>
    <x:row r="2" spans="1:7">
      <x:c r="B2" s="9">
        <x:v>45293</x:v>
      </x:c>
      <x:c r="C2" s="10">
        <x:v>0.00197</x:v>
      </x:c>
      <x:c r="D2" s="10">
        <x:v>0.003286</x:v>
      </x:c>
      <x:c r="E2" s="10">
        <x:v>0.001297</x:v>
      </x:c>
      <x:c r="G2" s="11" t="s">
        <x:v>26</x:v>
      </x:c>
    </x:row>
    <x:row r="3" spans="1:7">
      <x:c r="B3" s="9">
        <x:v>45294</x:v>
      </x:c>
      <x:c r="C3" s="10">
        <x:v>-0.010488</x:v>
      </x:c>
      <x:c r="D3" s="10">
        <x:v>0.006612</x:v>
      </x:c>
      <x:c r="E3" s="10">
        <x:v>0.000317</x:v>
      </x:c>
    </x:row>
    <x:row r="4" spans="1:7">
      <x:c r="B4" s="9">
        <x:v>45295</x:v>
      </x:c>
      <x:c r="C4" s="10">
        <x:v>-0.003883</x:v>
      </x:c>
      <x:c r="D4" s="10">
        <x:v>0.002362</x:v>
      </x:c>
      <x:c r="E4" s="10">
        <x:v>-0.01092</x:v>
      </x:c>
    </x:row>
    <x:row r="5" spans="1:7">
      <x:c r="B5" s="9">
        <x:v>45296</x:v>
      </x:c>
      <x:c r="C5" s="10">
        <x:v>0.002546</x:v>
      </x:c>
      <x:c r="D5" s="10">
        <x:v>0.000491</x:v>
      </x:c>
      <x:c r="E5" s="10">
        <x:v>0.002361</x:v>
      </x:c>
    </x:row>
    <x:row r="6" spans="1:7">
      <x:c r="B6" s="9">
        <x:v>45299</x:v>
      </x:c>
      <x:c r="C6" s="10">
        <x:v>-0.002684</x:v>
      </x:c>
      <x:c r="D6" s="10">
        <x:v>-0.005238</x:v>
      </x:c>
      <x:c r="E6" s="10">
        <x:v>-0.006335</x:v>
      </x:c>
    </x:row>
    <x:row r="7" spans="1:7">
      <x:c r="B7" s="9">
        <x:v>45300</x:v>
      </x:c>
      <x:c r="C7" s="10">
        <x:v>-0.002289</x:v>
      </x:c>
      <x:c r="D7" s="10">
        <x:v>-0.010117</x:v>
      </x:c>
      <x:c r="E7" s="10">
        <x:v>-0.010894</x:v>
      </x:c>
    </x:row>
    <x:row r="8" spans="1:7">
      <x:c r="B8" s="9">
        <x:v>45301</x:v>
      </x:c>
      <x:c r="C8" s="10">
        <x:v>0.0123</x:v>
      </x:c>
      <x:c r="D8" s="10">
        <x:v>0.003223</x:v>
      </x:c>
      <x:c r="E8" s="10">
        <x:v>-3.8E-05</x:v>
      </x:c>
    </x:row>
    <x:row r="9" spans="1:7">
      <x:c r="B9" s="9">
        <x:v>45302</x:v>
      </x:c>
      <x:c r="C9" s="10">
        <x:v>0.006282</x:v>
      </x:c>
      <x:c r="D9" s="10">
        <x:v>0.004726</x:v>
      </x:c>
      <x:c r="E9" s="10">
        <x:v>-0.000346</x:v>
      </x:c>
    </x:row>
    <x:row r="10" spans="1:7">
      <x:c r="B10" s="9">
        <x:v>45303</x:v>
      </x:c>
      <x:c r="C10" s="10">
        <x:v>0.013728</x:v>
      </x:c>
      <x:c r="D10" s="10">
        <x:v>0.001401</x:v>
      </x:c>
      <x:c r="E10" s="10">
        <x:v>-0.010255</x:v>
      </x:c>
    </x:row>
    <x:row r="11" spans="1:7">
      <x:c r="B11" s="9">
        <x:v>45306</x:v>
      </x:c>
      <x:c r="C11" s="10">
        <x:v>-0.0039</x:v>
      </x:c>
      <x:c r="D11" s="10">
        <x:v>-0.000943</x:v>
      </x:c>
      <x:c r="E11" s="10">
        <x:v>-0.008067</x:v>
      </x:c>
    </x:row>
    <x:row r="12" spans="1:7">
      <x:c r="B12" s="9">
        <x:v>45307</x:v>
      </x:c>
      <x:c r="C12" s="10">
        <x:v>0.002739</x:v>
      </x:c>
      <x:c r="D12" s="10">
        <x:v>-0.006979</x:v>
      </x:c>
      <x:c r="E12" s="10">
        <x:v>-0.000624</x:v>
      </x:c>
    </x:row>
    <x:row r="13" spans="1:7">
      <x:c r="B13" s="9">
        <x:v>45308</x:v>
      </x:c>
      <x:c r="C13" s="10">
        <x:v>0.005018</x:v>
      </x:c>
      <x:c r="D13" s="10">
        <x:v>0.006172</x:v>
      </x:c>
      <x:c r="E13" s="10">
        <x:v>0.004393</x:v>
      </x:c>
    </x:row>
    <x:row r="14" spans="1:7">
      <x:c r="B14" s="9">
        <x:v>45309</x:v>
      </x:c>
      <x:c r="C14" s="10">
        <x:v>0.004515</x:v>
      </x:c>
      <x:c r="D14" s="10">
        <x:v>0.00451</x:v>
      </x:c>
      <x:c r="E14" s="10">
        <x:v>-0.002908</x:v>
      </x:c>
    </x:row>
    <x:row r="15" spans="1:7">
      <x:c r="B15" s="9">
        <x:v>45310</x:v>
      </x:c>
      <x:c r="C15" s="10">
        <x:v>-0.013553</x:v>
      </x:c>
      <x:c r="D15" s="10">
        <x:v>-0.00866</x:v>
      </x:c>
      <x:c r="E15" s="10">
        <x:v>-0.005689</x:v>
      </x:c>
    </x:row>
    <x:row r="16" spans="1:7">
      <x:c r="B16" s="9">
        <x:v>45313</x:v>
      </x:c>
      <x:c r="C16" s="10">
        <x:v>-0.000181</x:v>
      </x:c>
      <x:c r="D16" s="10">
        <x:v>-0.003879</x:v>
      </x:c>
      <x:c r="E16" s="10">
        <x:v>-0.009123</x:v>
      </x:c>
    </x:row>
    <x:row r="17" spans="1:7">
      <x:c r="B17" s="9">
        <x:v>45314</x:v>
      </x:c>
      <x:c r="C17" s="10">
        <x:v>-0.00407</x:v>
      </x:c>
      <x:c r="D17" s="10">
        <x:v>-0.025697</x:v>
      </x:c>
      <x:c r="E17" s="10">
        <x:v>-0.020303</x:v>
      </x:c>
    </x:row>
    <x:row r="18" spans="1:7">
      <x:c r="B18" s="9">
        <x:v>45315</x:v>
      </x:c>
      <x:c r="C18" s="10">
        <x:v>-0.016446</x:v>
      </x:c>
      <x:c r="D18" s="10">
        <x:v>-0.01756</x:v>
      </x:c>
      <x:c r="E18" s="10">
        <x:v>0.001657</x:v>
      </x:c>
    </x:row>
    <x:row r="19" spans="1:7">
      <x:c r="B19" s="9">
        <x:v>45316</x:v>
      </x:c>
      <x:c r="C19" s="10">
        <x:v>0.010956</x:v>
      </x:c>
      <x:c r="D19" s="10">
        <x:v>0.003332</x:v>
      </x:c>
      <x:c r="E19" s="10">
        <x:v>0.017766</x:v>
      </x:c>
    </x:row>
    <x:row r="20" spans="1:7">
      <x:c r="B20" s="9">
        <x:v>45317</x:v>
      </x:c>
      <x:c r="C20" s="10">
        <x:v>0.000317</x:v>
      </x:c>
      <x:c r="D20" s="10">
        <x:v>0.007273</x:v>
      </x:c>
      <x:c r="E20" s="10">
        <x:v>-0.004708</x:v>
      </x:c>
    </x:row>
    <x:row r="21" spans="1:7">
      <x:c r="B21" s="9">
        <x:v>45320</x:v>
      </x:c>
      <x:c r="C21" s="10">
        <x:v>0.009908</x:v>
      </x:c>
      <x:c r="D21" s="10">
        <x:v>0.013116</x:v>
      </x:c>
      <x:c r="E21" s="10">
        <x:v>-0.003847</x:v>
      </x:c>
    </x:row>
    <x:row r="22" spans="1:7">
      <x:c r="B22" s="9">
        <x:v>45321</x:v>
      </x:c>
      <x:c r="C22" s="10">
        <x:v>-0.003388</x:v>
      </x:c>
      <x:c r="D22" s="10">
        <x:v>0.00222</x:v>
      </x:c>
      <x:c r="E22" s="10">
        <x:v>-0.000556</x:v>
      </x:c>
    </x:row>
    <x:row r="23" spans="1:7">
      <x:c r="B23" s="9">
        <x:v>45322</x:v>
      </x:c>
      <x:c r="C23" s="10">
        <x:v>-0.027705</x:v>
      </x:c>
      <x:c r="D23" s="10">
        <x:v>-0.025233</x:v>
      </x:c>
      <x:c r="E23" s="10">
        <x:v>-0.024259</x:v>
      </x:c>
    </x:row>
    <x:row r="24" spans="1:7">
      <x:c r="B24" s="9">
        <x:v>45323</x:v>
      </x:c>
      <x:c r="C24" s="10">
        <x:v>0.009354</x:v>
      </x:c>
      <x:c r="D24" s="10">
        <x:v>0.015203</x:v>
      </x:c>
      <x:c r="E24" s="10">
        <x:v>0.002971</x:v>
      </x:c>
    </x:row>
    <x:row r="25" spans="1:7">
      <x:c r="B25" s="9">
        <x:v>45324</x:v>
      </x:c>
      <x:c r="C25" s="10">
        <x:v>0.003606</x:v>
      </x:c>
      <x:c r="D25" s="10">
        <x:v>-0.005939</x:v>
      </x:c>
      <x:c r="E25" s="10">
        <x:v>-9.5E-05</x:v>
      </x:c>
    </x:row>
    <x:row r="26" spans="1:7">
      <x:c r="B26" s="9">
        <x:v>45327</x:v>
      </x:c>
      <x:c r="C26" s="10">
        <x:v>-0.002237</x:v>
      </x:c>
      <x:c r="D26" s="10">
        <x:v>0.00502</x:v>
      </x:c>
      <x:c r="E26" s="10">
        <x:v>-0.00096</x:v>
      </x:c>
    </x:row>
    <x:row r="27" spans="1:7">
      <x:c r="B27" s="9">
        <x:v>45328</x:v>
      </x:c>
      <x:c r="C27" s="10">
        <x:v>-0.009962</x:v>
      </x:c>
      <x:c r="D27" s="10">
        <x:v>-0.014572</x:v>
      </x:c>
      <x:c r="E27" s="10">
        <x:v>0.003585</x:v>
      </x:c>
    </x:row>
    <x:row r="28" spans="1:7">
      <x:c r="B28" s="9">
        <x:v>45329</x:v>
      </x:c>
      <x:c r="C28" s="10">
        <x:v>0.006333</x:v>
      </x:c>
      <x:c r="D28" s="10">
        <x:v>-0.00138</x:v>
      </x:c>
      <x:c r="E28" s="10">
        <x:v>0.006084</x:v>
      </x:c>
    </x:row>
    <x:row r="29" spans="1:7">
      <x:c r="B29" s="9">
        <x:v>45330</x:v>
      </x:c>
      <x:c r="C29" s="10">
        <x:v>-0.001072</x:v>
      </x:c>
      <x:c r="D29" s="10">
        <x:v>-0.004435</x:v>
      </x:c>
      <x:c r="E29" s="10">
        <x:v>0.002558</x:v>
      </x:c>
    </x:row>
    <x:row r="30" spans="1:7">
      <x:c r="B30" s="9">
        <x:v>45331</x:v>
      </x:c>
      <x:c r="C30" s="10">
        <x:v>-0.002493</x:v>
      </x:c>
      <x:c r="D30" s="10">
        <x:v>0.001895</x:v>
      </x:c>
      <x:c r="E30" s="10">
        <x:v>-0.003255</x:v>
      </x:c>
    </x:row>
    <x:row r="31" spans="1:7">
      <x:c r="B31" s="9">
        <x:v>45334</x:v>
      </x:c>
      <x:c r="C31" s="10">
        <x:v>0.004568</x:v>
      </x:c>
      <x:c r="D31" s="10">
        <x:v>0.007901</x:v>
      </x:c>
      <x:c r="E31" s="10">
        <x:v>0.001609</x:v>
      </x:c>
    </x:row>
    <x:row r="32" spans="1:7">
      <x:c r="B32" s="9">
        <x:v>45335</x:v>
      </x:c>
      <x:c r="C32" s="10">
        <x:v>-0.013345</x:v>
      </x:c>
      <x:c r="D32" s="10">
        <x:v>-0.006794</x:v>
      </x:c>
      <x:c r="E32" s="10">
        <x:v>-0.003063</x:v>
      </x:c>
    </x:row>
    <x:row r="33" spans="1:7">
      <x:c r="B33" s="9">
        <x:v>45336</x:v>
      </x:c>
      <x:c r="C33" s="10">
        <x:v>-0.007979</x:v>
      </x:c>
      <x:c r="D33" s="10">
        <x:v>-0.011131</x:v>
      </x:c>
      <x:c r="E33" s="10">
        <x:v>-0.009582</x:v>
      </x:c>
    </x:row>
    <x:row r="34" spans="1:7">
      <x:c r="B34" s="9">
        <x:v>45337</x:v>
      </x:c>
      <x:c r="C34" s="10">
        <x:v>0.018921</x:v>
      </x:c>
      <x:c r="D34" s="10">
        <x:v>0.013638</x:v>
      </x:c>
      <x:c r="E34" s="10">
        <x:v>0.00985</x:v>
      </x:c>
    </x:row>
    <x:row r="35" spans="1:7">
      <x:c r="B35" s="9">
        <x:v>45338</x:v>
      </x:c>
      <x:c r="C35" s="10">
        <x:v>-0.008985</x:v>
      </x:c>
      <x:c r="D35" s="10">
        <x:v>-0.002503</x:v>
      </x:c>
      <x:c r="E35" s="10">
        <x:v>0.002008</x:v>
      </x:c>
    </x:row>
    <x:row r="36" spans="1:7">
      <x:c r="B36" s="9">
        <x:v>45341</x:v>
      </x:c>
      <x:c r="C36" s="10">
        <x:v>-0.010389</x:v>
      </x:c>
      <x:c r="D36" s="10">
        <x:v>-0.011018</x:v>
      </x:c>
      <x:c r="E36" s="10">
        <x:v>-0.008635</x:v>
      </x:c>
    </x:row>
    <x:row r="37" spans="1:7">
      <x:c r="B37" s="9">
        <x:v>45342</x:v>
      </x:c>
      <x:c r="C37" s="10">
        <x:v>-0.016053</x:v>
      </x:c>
      <x:c r="D37" s="10">
        <x:v>-0.012939</x:v>
      </x:c>
      <x:c r="E37" s="10">
        <x:v>-0.002528</x:v>
      </x:c>
    </x:row>
    <x:row r="38" spans="1:7">
      <x:c r="B38" s="9">
        <x:v>45343</x:v>
      </x:c>
      <x:c r="C38" s="10">
        <x:v>0.008745</x:v>
      </x:c>
      <x:c r="D38" s="10">
        <x:v>0.009159</x:v>
      </x:c>
      <x:c r="E38" s="10">
        <x:v>0.00163</x:v>
      </x:c>
    </x:row>
    <x:row r="39" spans="1:7">
      <x:c r="B39" s="9">
        <x:v>45344</x:v>
      </x:c>
      <x:c r="C39" s="10">
        <x:v>0.028748</x:v>
      </x:c>
      <x:c r="D39" s="10">
        <x:v>0.026426</x:v>
      </x:c>
      <x:c r="E39" s="10">
        <x:v>0.000923</x:v>
      </x:c>
    </x:row>
    <x:row r="40" spans="1:7">
      <x:c r="B40" s="9">
        <x:v>45345</x:v>
      </x:c>
      <x:c r="C40" s="10">
        <x:v>-0.009671</x:v>
      </x:c>
      <x:c r="D40" s="10">
        <x:v>-0.007583</x:v>
      </x:c>
      <x:c r="E40" s="10">
        <x:v>0.008174</x:v>
      </x:c>
    </x:row>
    <x:row r="41" spans="1:7">
      <x:c r="B41" s="9">
        <x:v>45348</x:v>
      </x:c>
      <x:c r="C41" s="10">
        <x:v>-0.010805</x:v>
      </x:c>
      <x:c r="D41" s="10">
        <x:v>-0.015335</x:v>
      </x:c>
      <x:c r="E41" s="10">
        <x:v>-0.006008</x:v>
      </x:c>
    </x:row>
    <x:row r="42" spans="1:7">
      <x:c r="B42" s="9">
        <x:v>45349</x:v>
      </x:c>
      <x:c r="C42" s="10">
        <x:v>-0.002521</x:v>
      </x:c>
      <x:c r="D42" s="10">
        <x:v>0.001582</x:v>
      </x:c>
      <x:c r="E42" s="10">
        <x:v>-0.00381</x:v>
      </x:c>
    </x:row>
    <x:row r="43" spans="1:7">
      <x:c r="B43" s="9">
        <x:v>45350</x:v>
      </x:c>
      <x:c r="C43" s="10">
        <x:v>0.005478</x:v>
      </x:c>
      <x:c r="D43" s="10">
        <x:v>0.013956</x:v>
      </x:c>
      <x:c r="E43" s="10">
        <x:v>0.005392</x:v>
      </x:c>
    </x:row>
    <x:row r="44" spans="1:7">
      <x:c r="B44" s="9">
        <x:v>45351</x:v>
      </x:c>
      <x:c r="C44" s="10">
        <x:v>-0.012569</x:v>
      </x:c>
      <x:c r="D44" s="10">
        <x:v>-0.003455</x:v>
      </x:c>
      <x:c r="E44" s="10">
        <x:v>0.008931</x:v>
      </x:c>
    </x:row>
    <x:row r="45" spans="1:7">
      <x:c r="B45" s="9">
        <x:v>45352</x:v>
      </x:c>
      <x:c r="C45" s="10">
        <x:v>-0.014908</x:v>
      </x:c>
      <x:c r="D45" s="10">
        <x:v>-0.00958</x:v>
      </x:c>
      <x:c r="E45" s="10">
        <x:v>0.010514</x:v>
      </x:c>
    </x:row>
    <x:row r="46" spans="1:7">
      <x:c r="B46" s="9">
        <x:v>45355</x:v>
      </x:c>
      <x:c r="C46" s="10">
        <x:v>0.000912</x:v>
      </x:c>
      <x:c r="D46" s="10">
        <x:v>-0.000396</x:v>
      </x:c>
      <x:c r="E46" s="10">
        <x:v>0.009366</x:v>
      </x:c>
    </x:row>
    <x:row r="47" spans="1:7">
      <x:c r="B47" s="9">
        <x:v>45356</x:v>
      </x:c>
      <x:c r="C47" s="10">
        <x:v>-0.007225</x:v>
      </x:c>
      <x:c r="D47" s="10">
        <x:v>-0.009403</x:v>
      </x:c>
      <x:c r="E47" s="10">
        <x:v>0.000304</x:v>
      </x:c>
    </x:row>
    <x:row r="48" spans="1:7">
      <x:c r="B48" s="9">
        <x:v>45357</x:v>
      </x:c>
      <x:c r="C48" s="10">
        <x:v>-0.000611</x:v>
      </x:c>
      <x:c r="D48" s="10">
        <x:v>0.019172</x:v>
      </x:c>
      <x:c r="E48" s="10">
        <x:v>-0.004875</x:v>
      </x:c>
    </x:row>
    <x:row r="49" spans="1:7">
      <x:c r="B49" s="9">
        <x:v>45358</x:v>
      </x:c>
      <x:c r="C49" s="10">
        <x:v>-0.010943</x:v>
      </x:c>
      <x:c r="D49" s="10">
        <x:v>-0.008242</x:v>
      </x:c>
      <x:c r="E49" s="10">
        <x:v>-0.00981</x:v>
      </x:c>
    </x:row>
    <x:row r="50" spans="1:7">
      <x:c r="B50" s="9">
        <x:v>45359</x:v>
      </x:c>
      <x:c r="C50" s="10">
        <x:v>-0.004694</x:v>
      </x:c>
      <x:c r="D50" s="10">
        <x:v>-0.005688</x:v>
      </x:c>
      <x:c r="E50" s="10">
        <x:v>0.00908</x:v>
      </x:c>
    </x:row>
    <x:row r="51" spans="1:7">
      <x:c r="B51" s="9">
        <x:v>45362</x:v>
      </x:c>
      <x:c r="C51" s="10">
        <x:v>-0.009886</x:v>
      </x:c>
      <x:c r="D51" s="10">
        <x:v>-0.000512</x:v>
      </x:c>
      <x:c r="E51" s="10">
        <x:v>0.003097</x:v>
      </x:c>
    </x:row>
    <x:row r="52" spans="1:7">
      <x:c r="B52" s="9">
        <x:v>45363</x:v>
      </x:c>
      <x:c r="C52" s="10">
        <x:v>-0.00423</x:v>
      </x:c>
      <x:c r="D52" s="10">
        <x:v>-0.006126</x:v>
      </x:c>
      <x:c r="E52" s="10">
        <x:v>-0.008039</x:v>
      </x:c>
    </x:row>
    <x:row r="53" spans="1:7">
      <x:c r="B53" s="9">
        <x:v>45364</x:v>
      </x:c>
      <x:c r="C53" s="10">
        <x:v>-0.002404</x:v>
      </x:c>
      <x:c r="D53" s="10">
        <x:v>-0.009339</x:v>
      </x:c>
      <x:c r="E53" s="10">
        <x:v>0.004925</x:v>
      </x:c>
    </x:row>
    <x:row r="54" spans="1:7">
      <x:c r="B54" s="9">
        <x:v>45365</x:v>
      </x:c>
      <x:c r="C54" s="10">
        <x:v>0.006738</x:v>
      </x:c>
      <x:c r="D54" s="10">
        <x:v>-0.002741</x:v>
      </x:c>
      <x:c r="E54" s="10">
        <x:v>0.014516</x:v>
      </x:c>
    </x:row>
    <x:row r="55" spans="1:7">
      <x:c r="B55" s="9">
        <x:v>45366</x:v>
      </x:c>
      <x:c r="C55" s="10">
        <x:v>-0.026924</x:v>
      </x:c>
      <x:c r="D55" s="10">
        <x:v>-0.029502</x:v>
      </x:c>
      <x:c r="E55" s="10">
        <x:v>0.002663</x:v>
      </x:c>
    </x:row>
    <x:row r="56" spans="1:7">
      <x:c r="B56" s="9">
        <x:v>45369</x:v>
      </x:c>
      <x:c r="C56" s="10">
        <x:v>-0.017947</x:v>
      </x:c>
      <x:c r="D56" s="10">
        <x:v>-0.017199</x:v>
      </x:c>
      <x:c r="E56" s="10">
        <x:v>0.028185</x:v>
      </x:c>
    </x:row>
    <x:row r="57" spans="1:7">
      <x:c r="B57" s="9">
        <x:v>45370</x:v>
      </x:c>
      <x:c r="C57" s="10">
        <x:v>-0.005274</x:v>
      </x:c>
      <x:c r="D57" s="10">
        <x:v>-0.000883</x:v>
      </x:c>
      <x:c r="E57" s="10">
        <x:v>-0.008503</x:v>
      </x:c>
    </x:row>
    <x:row r="58" spans="1:7">
      <x:c r="B58" s="9">
        <x:v>45371</x:v>
      </x:c>
      <x:c r="C58" s="10">
        <x:v>-0.006537</x:v>
      </x:c>
      <x:c r="D58" s="10">
        <x:v>-0.016173</x:v>
      </x:c>
      <x:c r="E58" s="10">
        <x:v>0.035193</x:v>
      </x:c>
    </x:row>
    <x:row r="59" spans="1:7">
      <x:c r="B59" s="9">
        <x:v>45372</x:v>
      </x:c>
      <x:c r="C59" s="10">
        <x:v>0.018557</x:v>
      </x:c>
      <x:c r="D59" s="10">
        <x:v>0.01629</x:v>
      </x:c>
      <x:c r="E59" s="10">
        <x:v>0.005474</x:v>
      </x:c>
    </x:row>
    <x:row r="60" spans="1:7">
      <x:c r="B60" s="9">
        <x:v>45373</x:v>
      </x:c>
      <x:c r="C60" s="10">
        <x:v>-0.007507</x:v>
      </x:c>
      <x:c r="D60" s="10">
        <x:v>-0.01831</x:v>
      </x:c>
      <x:c r="E60" s="10">
        <x:v>-0.016391</x:v>
      </x:c>
    </x:row>
    <x:row r="61" spans="1:7">
      <x:c r="B61" s="9">
        <x:v>45376</x:v>
      </x:c>
      <x:c r="C61" s="10">
        <x:v>0.012459</x:v>
      </x:c>
      <x:c r="D61" s="10">
        <x:v>0.006152</x:v>
      </x:c>
      <x:c r="E61" s="10">
        <x:v>0.004475</x:v>
      </x:c>
    </x:row>
    <x:row r="62" spans="1:7">
      <x:c r="B62" s="9">
        <x:v>45377</x:v>
      </x:c>
      <x:c r="C62" s="10">
        <x:v>0.015396</x:v>
      </x:c>
      <x:c r="D62" s="10">
        <x:v>0.012473</x:v>
      </x:c>
      <x:c r="E62" s="10">
        <x:v>0.007597</x:v>
      </x:c>
    </x:row>
    <x:row r="63" spans="1:7">
      <x:c r="B63" s="9">
        <x:v>45378</x:v>
      </x:c>
      <x:c r="C63" s="10">
        <x:v>-0.030107</x:v>
      </x:c>
      <x:c r="D63" s="10">
        <x:v>-0.034444</x:v>
      </x:c>
      <x:c r="E63" s="10">
        <x:v>-0.010802</x:v>
      </x:c>
    </x:row>
    <x:row r="64" spans="1:7">
      <x:c r="B64" s="9">
        <x:v>45379</x:v>
      </x:c>
      <x:c r="C64" s="10">
        <x:v>-0.009792</x:v>
      </x:c>
      <x:c r="D64" s="10">
        <x:v>-0.00078</x:v>
      </x:c>
      <x:c r="E64" s="10">
        <x:v>0.004217</x:v>
      </x:c>
    </x:row>
    <x:row r="65" spans="1:7">
      <x:c r="B65" s="9">
        <x:v>45380</x:v>
      </x:c>
      <x:c r="C65" s="10">
        <x:v>-0.002188</x:v>
      </x:c>
      <x:c r="D65" s="10">
        <x:v>-0.009964</x:v>
      </x:c>
      <x:c r="E65" s="10">
        <x:v>0.004526</x:v>
      </x:c>
    </x:row>
    <x:row r="66" spans="1:7">
      <x:c r="B66" s="9">
        <x:v>45383</x:v>
      </x:c>
      <x:c r="C66" s="10">
        <x:v>0.019672</x:v>
      </x:c>
      <x:c r="D66" s="10">
        <x:v>0.011182</x:v>
      </x:c>
      <x:c r="E66" s="10">
        <x:v>0.003019</x:v>
      </x:c>
    </x:row>
    <x:row r="67" spans="1:7">
      <x:c r="B67" s="9">
        <x:v>45384</x:v>
      </x:c>
      <x:c r="C67" s="10">
        <x:v>0.000665</x:v>
      </x:c>
      <x:c r="D67" s="10">
        <x:v>-0.002707</x:v>
      </x:c>
      <x:c r="E67" s="10">
        <x:v>-0.005442</x:v>
      </x:c>
    </x:row>
    <x:row r="68" spans="1:7">
      <x:c r="B68" s="9">
        <x:v>45385</x:v>
      </x:c>
      <x:c r="C68" s="10">
        <x:v>0.000361</x:v>
      </x:c>
      <x:c r="D68" s="10">
        <x:v>-0.002305</x:v>
      </x:c>
      <x:c r="E68" s="10">
        <x:v>0.007837</x:v>
      </x:c>
    </x:row>
    <x:row r="69" spans="1:7">
      <x:c r="B69" s="9">
        <x:v>45386</x:v>
      </x:c>
      <x:c r="C69" s="10">
        <x:v>-0.004733</x:v>
      </x:c>
      <x:c r="D69" s="10">
        <x:v>-0.014297</x:v>
      </x:c>
      <x:c r="E69" s="10">
        <x:v>0.000501</x:v>
      </x:c>
    </x:row>
    <x:row r="70" spans="1:7">
      <x:c r="B70" s="9">
        <x:v>45387</x:v>
      </x:c>
      <x:c r="C70" s="10">
        <x:v>-0.013541</x:v>
      </x:c>
      <x:c r="D70" s="10">
        <x:v>0.001686</x:v>
      </x:c>
      <x:c r="E70" s="10">
        <x:v>0.00231</x:v>
      </x:c>
    </x:row>
    <x:row r="71" spans="1:7">
      <x:c r="B71" s="9">
        <x:v>45390</x:v>
      </x:c>
      <x:c r="C71" s="10">
        <x:v>0.000245</x:v>
      </x:c>
      <x:c r="D71" s="10">
        <x:v>0.003627</x:v>
      </x:c>
      <x:c r="E71" s="10">
        <x:v>0.002805</x:v>
      </x:c>
    </x:row>
    <x:row r="72" spans="1:7">
      <x:c r="B72" s="9">
        <x:v>45391</x:v>
      </x:c>
      <x:c r="C72" s="10">
        <x:v>-0.001356</x:v>
      </x:c>
      <x:c r="D72" s="10">
        <x:v>0.00368</x:v>
      </x:c>
      <x:c r="E72" s="10">
        <x:v>-0.014122</x:v>
      </x:c>
    </x:row>
    <x:row r="73" spans="1:7">
      <x:c r="B73" s="9">
        <x:v>45392</x:v>
      </x:c>
      <x:c r="C73" s="10">
        <x:v>-0.002251</x:v>
      </x:c>
      <x:c r="D73" s="10">
        <x:v>0.003336</x:v>
      </x:c>
      <x:c r="E73" s="10">
        <x:v>0.000757</x:v>
      </x:c>
    </x:row>
    <x:row r="74" spans="1:7">
      <x:c r="B74" s="9">
        <x:v>45393</x:v>
      </x:c>
      <x:c r="C74" s="10">
        <x:v>-0.001967</x:v>
      </x:c>
      <x:c r="D74" s="10">
        <x:v>0.00673</x:v>
      </x:c>
      <x:c r="E74" s="10">
        <x:v>-0.007326</x:v>
      </x:c>
    </x:row>
    <x:row r="75" spans="1:7">
      <x:c r="B75" s="9">
        <x:v>45394</x:v>
      </x:c>
      <x:c r="C75" s="10">
        <x:v>0.026007</x:v>
      </x:c>
      <x:c r="D75" s="10">
        <x:v>-0.013347</x:v>
      </x:c>
      <x:c r="E75" s="10">
        <x:v>-0.017019</x:v>
      </x:c>
    </x:row>
    <x:row r="76" spans="1:7">
      <x:c r="B76" s="9">
        <x:v>45397</x:v>
      </x:c>
      <x:c r="C76" s="10">
        <x:v>0.006642</x:v>
      </x:c>
      <x:c r="D76" s="10">
        <x:v>0.012887</x:v>
      </x:c>
      <x:c r="E76" s="10">
        <x:v>-0.006576</x:v>
      </x:c>
    </x:row>
    <x:row r="77" spans="1:7">
      <x:c r="B77" s="9">
        <x:v>45398</x:v>
      </x:c>
      <x:c r="C77" s="10">
        <x:v>-0.021399</x:v>
      </x:c>
      <x:c r="D77" s="10">
        <x:v>-0.007579</x:v>
      </x:c>
      <x:c r="E77" s="10">
        <x:v>0.003587</x:v>
      </x:c>
    </x:row>
    <x:row r="78" spans="1:7">
      <x:c r="B78" s="9">
        <x:v>45399</x:v>
      </x:c>
      <x:c r="C78" s="10">
        <x:v>-0.015391</x:v>
      </x:c>
      <x:c r="D78" s="10">
        <x:v>-0.019808</x:v>
      </x:c>
      <x:c r="E78" s="10">
        <x:v>-0.00235</x:v>
      </x:c>
    </x:row>
    <x:row r="79" spans="1:7">
      <x:c r="B79" s="9">
        <x:v>45400</x:v>
      </x:c>
      <x:c r="C79" s="10">
        <x:v>-0.004257</x:v>
      </x:c>
      <x:c r="D79" s="10">
        <x:v>-0.008789</x:v>
      </x:c>
      <x:c r="E79" s="10">
        <x:v>0.005597</x:v>
      </x:c>
    </x:row>
    <x:row r="80" spans="1:7">
      <x:c r="B80" s="9">
        <x:v>45401</x:v>
      </x:c>
      <x:c r="C80" s="10">
        <x:v>0.009411</x:v>
      </x:c>
      <x:c r="D80" s="10">
        <x:v>0.010911</x:v>
      </x:c>
      <x:c r="E80" s="10">
        <x:v>-0.010591</x:v>
      </x:c>
    </x:row>
    <x:row r="81" spans="1:7">
      <x:c r="B81" s="9">
        <x:v>45404</x:v>
      </x:c>
      <x:c r="C81" s="10">
        <x:v>0.009923</x:v>
      </x:c>
      <x:c r="D81" s="10">
        <x:v>0.007443</x:v>
      </x:c>
      <x:c r="E81" s="10">
        <x:v>-0.004376</x:v>
      </x:c>
    </x:row>
    <x:row r="82" spans="1:7">
      <x:c r="B82" s="9">
        <x:v>45405</x:v>
      </x:c>
      <x:c r="C82" s="10">
        <x:v>-0.000665</x:v>
      </x:c>
      <x:c r="D82" s="10">
        <x:v>-0.001992</x:v>
      </x:c>
      <x:c r="E82" s="10">
        <x:v>0.006047</x:v>
      </x:c>
    </x:row>
    <x:row r="83" spans="1:7">
      <x:c r="B83" s="9">
        <x:v>45406</x:v>
      </x:c>
      <x:c r="C83" s="10">
        <x:v>0.005895</x:v>
      </x:c>
      <x:c r="D83" s="10">
        <x:v>0.000672</x:v>
      </x:c>
      <x:c r="E83" s="10">
        <x:v>-0.001605</x:v>
      </x:c>
    </x:row>
    <x:row r="84" spans="1:7">
      <x:c r="B84" s="9">
        <x:v>45407</x:v>
      </x:c>
      <x:c r="C84" s="10">
        <x:v>0.000414</x:v>
      </x:c>
      <x:c r="D84" s="10">
        <x:v>0.005855</x:v>
      </x:c>
      <x:c r="E84" s="10">
        <x:v>0.011993</x:v>
      </x:c>
    </x:row>
    <x:row r="85" spans="1:7">
      <x:c r="B85" s="9">
        <x:v>45408</x:v>
      </x:c>
      <x:c r="C85" s="10">
        <x:v>0.012408</x:v>
      </x:c>
      <x:c r="D85" s="10">
        <x:v>0.01148</x:v>
      </x:c>
      <x:c r="E85" s="10">
        <x:v>-0.008372</x:v>
      </x:c>
    </x:row>
    <x:row r="86" spans="1:7">
      <x:c r="B86" s="9">
        <x:v>45411</x:v>
      </x:c>
      <x:c r="C86" s="10">
        <x:v>-0.003332</x:v>
      </x:c>
      <x:c r="D86" s="10">
        <x:v>-0.004682</x:v>
      </x:c>
      <x:c r="E86" s="10">
        <x:v>-0.011512</x:v>
      </x:c>
    </x:row>
    <x:row r="87" spans="1:7">
      <x:c r="B87" s="9">
        <x:v>45412</x:v>
      </x:c>
      <x:c r="C87" s="10">
        <x:v>-0.023351</x:v>
      </x:c>
      <x:c r="D87" s="10">
        <x:v>-0.015156</x:v>
      </x:c>
      <x:c r="E87" s="10">
        <x:v>0.006814</x:v>
      </x:c>
    </x:row>
    <x:row r="88" spans="1:7">
      <x:c r="B88" s="9">
        <x:v>45413</x:v>
      </x:c>
      <x:c r="C88" s="10">
        <x:v>-0.009036</x:v>
      </x:c>
      <x:c r="D88" s="10">
        <x:v>-0.001264</x:v>
      </x:c>
      <x:c r="E88" s="10">
        <x:v>-0.017728</x:v>
      </x:c>
    </x:row>
    <x:row r="89" spans="1:7">
      <x:c r="B89" s="9">
        <x:v>45414</x:v>
      </x:c>
      <x:c r="C89" s="10">
        <x:v>-0.002659</x:v>
      </x:c>
      <x:c r="D89" s="10">
        <x:v>-0.006979</x:v>
      </x:c>
      <x:c r="E89" s="10">
        <x:v>-0.011379</x:v>
      </x:c>
    </x:row>
    <x:row r="90" spans="1:7">
      <x:c r="B90" s="9">
        <x:v>45415</x:v>
      </x:c>
      <x:c r="C90" s="10">
        <x:v>0.003169</x:v>
      </x:c>
      <x:c r="D90" s="10">
        <x:v>-0.005386</x:v>
      </x:c>
      <x:c r="E90" s="10">
        <x:v>-0.01318</x:v>
      </x:c>
    </x:row>
    <x:row r="91" spans="1:7">
      <x:c r="B91" s="9">
        <x:v>45418</x:v>
      </x:c>
      <x:c r="C91" s="10">
        <x:v>-0.003288</x:v>
      </x:c>
      <x:c r="D91" s="10">
        <x:v>0.002163</x:v>
      </x:c>
      <x:c r="E91" s="10">
        <x:v>-0.001508</x:v>
      </x:c>
    </x:row>
    <x:row r="92" spans="1:7">
      <x:c r="B92" s="9">
        <x:v>45419</x:v>
      </x:c>
      <x:c r="C92" s="10">
        <x:v>0.010712</x:v>
      </x:c>
      <x:c r="D92" s="10">
        <x:v>0.000316</x:v>
      </x:c>
      <x:c r="E92" s="10">
        <x:v>0.007589</x:v>
      </x:c>
    </x:row>
    <x:row r="93" spans="1:7">
      <x:c r="B93" s="9">
        <x:v>45420</x:v>
      </x:c>
      <x:c r="C93" s="10">
        <x:v>-0.010025</x:v>
      </x:c>
      <x:c r="D93" s="10">
        <x:v>-0.005087</x:v>
      </x:c>
      <x:c r="E93" s="10">
        <x:v>0.002202</x:v>
      </x:c>
    </x:row>
    <x:row r="94" spans="1:7">
      <x:c r="B94" s="9">
        <x:v>45421</x:v>
      </x:c>
      <x:c r="C94" s="10">
        <x:v>0.015173</x:v>
      </x:c>
      <x:c r="D94" s="10">
        <x:v>0.013104</x:v>
      </x:c>
      <x:c r="E94" s="10">
        <x:v>8.7E-05</x:v>
      </x:c>
    </x:row>
    <x:row r="95" spans="1:7">
      <x:c r="B95" s="9">
        <x:v>45422</x:v>
      </x:c>
      <x:c r="C95" s="10">
        <x:v>-0.003753</x:v>
      </x:c>
      <x:c r="D95" s="10">
        <x:v>-0.005026</x:v>
      </x:c>
      <x:c r="E95" s="10">
        <x:v>-0.000342</x:v>
      </x:c>
    </x:row>
    <x:row r="96" spans="1:7">
      <x:c r="B96" s="9">
        <x:v>45425</x:v>
      </x:c>
      <x:c r="C96" s="10">
        <x:v>0.005577</x:v>
      </x:c>
      <x:c r="D96" s="10">
        <x:v>0.002019</x:v>
      </x:c>
      <x:c r="E96" s="10">
        <x:v>-0.000477</x:v>
      </x:c>
    </x:row>
    <x:row r="97" spans="1:7">
      <x:c r="B97" s="9">
        <x:v>45426</x:v>
      </x:c>
      <x:c r="C97" s="10">
        <x:v>-0.001946</x:v>
      </x:c>
      <x:c r="D97" s="10">
        <x:v>-0.004659</x:v>
      </x:c>
      <x:c r="E97" s="10">
        <x:v>0.005121</x:v>
      </x:c>
    </x:row>
    <x:row r="98" spans="1:7">
      <x:c r="B98" s="9">
        <x:v>45427</x:v>
      </x:c>
      <x:c r="C98" s="10">
        <x:v>0.015796</x:v>
      </x:c>
      <x:c r="D98" s="10">
        <x:v>0.008095</x:v>
      </x:c>
      <x:c r="E98" s="10">
        <x:v>0.019101</x:v>
      </x:c>
    </x:row>
    <x:row r="99" spans="1:7">
      <x:c r="B99" s="9">
        <x:v>45428</x:v>
      </x:c>
      <x:c r="C99" s="10">
        <x:v>-0.011976</x:v>
      </x:c>
      <x:c r="D99" s="10">
        <x:v>-0.009427</x:v>
      </x:c>
      <x:c r="E99" s="10">
        <x:v>-0.007662</x:v>
      </x:c>
    </x:row>
    <x:row r="100" spans="1:7">
      <x:c r="B100" s="9">
        <x:v>45429</x:v>
      </x:c>
      <x:c r="C100" s="10">
        <x:v>0.007375</x:v>
      </x:c>
      <x:c r="D100" s="10">
        <x:v>0.00499</x:v>
      </x:c>
      <x:c r="E100" s="10">
        <x:v>0.002575</x:v>
      </x:c>
    </x:row>
    <x:row r="101" spans="1:7">
      <x:c r="B101" s="9">
        <x:v>45432</x:v>
      </x:c>
      <x:c r="C101" s="10">
        <x:v>-0.022327</x:v>
      </x:c>
      <x:c r="D101" s="10">
        <x:v>-0.031913</x:v>
      </x:c>
      <x:c r="E101" s="10">
        <x:v>0.007436</x:v>
      </x:c>
    </x:row>
    <x:row r="102" spans="1:7">
      <x:c r="B102" s="9">
        <x:v>45433</x:v>
      </x:c>
      <x:c r="C102" s="10">
        <x:v>0.016182</x:v>
      </x:c>
      <x:c r="D102" s="10">
        <x:v>0.003212</x:v>
      </x:c>
      <x:c r="E102" s="10">
        <x:v>-0.001114</x:v>
      </x:c>
    </x:row>
    <x:row r="103" spans="1:7">
      <x:c r="B103" s="9">
        <x:v>45434</x:v>
      </x:c>
      <x:c r="C103" s="10">
        <x:v>-0.010343</x:v>
      </x:c>
      <x:c r="D103" s="10">
        <x:v>-0.01133</x:v>
      </x:c>
      <x:c r="E103" s="10">
        <x:v>0.008998</x:v>
      </x:c>
    </x:row>
    <x:row r="104" spans="1:7">
      <x:c r="B104" s="9">
        <x:v>45435</x:v>
      </x:c>
      <x:c r="C104" s="10">
        <x:v>-0.007003</x:v>
      </x:c>
      <x:c r="D104" s="10">
        <x:v>-0.001534</x:v>
      </x:c>
      <x:c r="E104" s="10">
        <x:v>-0.008678</x:v>
      </x:c>
    </x:row>
    <x:row r="105" spans="1:7">
      <x:c r="B105" s="9">
        <x:v>45436</x:v>
      </x:c>
      <x:c r="C105" s="10">
        <x:v>0.003888</x:v>
      </x:c>
      <x:c r="D105" s="10">
        <x:v>0.007768</x:v>
      </x:c>
      <x:c r="E105" s="10">
        <x:v>-0.016373</x:v>
      </x:c>
    </x:row>
    <x:row r="106" spans="1:7">
      <x:c r="B106" s="9">
        <x:v>45439</x:v>
      </x:c>
      <x:c r="C106" s="10">
        <x:v>-0.001093</x:v>
      </x:c>
      <x:c r="D106" s="10">
        <x:v>0.007325</x:v>
      </x:c>
      <x:c r="E106" s="10">
        <x:v>-0.000976</x:v>
      </x:c>
    </x:row>
    <x:row r="107" spans="1:7">
      <x:c r="B107" s="9">
        <x:v>45440</x:v>
      </x:c>
      <x:c r="C107" s="10">
        <x:v>0.000366</x:v>
      </x:c>
      <x:c r="D107" s="10">
        <x:v>0.01117</x:v>
      </x:c>
      <x:c r="E107" s="10">
        <x:v>0.010782</x:v>
      </x:c>
    </x:row>
    <x:row r="108" spans="1:7">
      <x:c r="B108" s="9">
        <x:v>45441</x:v>
      </x:c>
      <x:c r="C108" s="10">
        <x:v>-0.002226</x:v>
      </x:c>
      <x:c r="D108" s="10">
        <x:v>-0.00527</x:v>
      </x:c>
      <x:c r="E108" s="10">
        <x:v>-0.000408</x:v>
      </x:c>
    </x:row>
    <x:row r="109" spans="1:7">
      <x:c r="B109" s="9">
        <x:v>45442</x:v>
      </x:c>
      <x:c r="C109" s="10">
        <x:v>3.2E-05</x:v>
      </x:c>
      <x:c r="D109" s="10">
        <x:v>-0.000999</x:v>
      </x:c>
      <x:c r="E109" s="10">
        <x:v>0.001887</x:v>
      </x:c>
    </x:row>
    <x:row r="110" spans="1:7">
      <x:c r="B110" s="9">
        <x:v>45443</x:v>
      </x:c>
      <x:c r="C110" s="10">
        <x:v>0.000554</x:v>
      </x:c>
      <x:c r="D110" s="10">
        <x:v>0.000545</x:v>
      </x:c>
      <x:c r="E110" s="10">
        <x:v>0.007536</x:v>
      </x:c>
    </x:row>
    <x:row r="111" spans="1:7">
      <x:c r="B111" s="9">
        <x:v>45446</x:v>
      </x:c>
      <x:c r="C111" s="10">
        <x:v>0.005452</x:v>
      </x:c>
      <x:c r="D111" s="10">
        <x:v>0.009142</x:v>
      </x:c>
      <x:c r="E111" s="10">
        <x:v>0.005741</x:v>
      </x:c>
    </x:row>
    <x:row r="112" spans="1:7">
      <x:c r="B112" s="9">
        <x:v>45447</x:v>
      </x:c>
      <x:c r="C112" s="10">
        <x:v>-0.014927</x:v>
      </x:c>
      <x:c r="D112" s="10">
        <x:v>-0.012536</x:v>
      </x:c>
      <x:c r="E112" s="10">
        <x:v>0.013776</x:v>
      </x:c>
    </x:row>
    <x:row r="113" spans="1:7">
      <x:c r="B113" s="9">
        <x:v>45448</x:v>
      </x:c>
      <x:c r="C113" s="10">
        <x:v>-0.003952</x:v>
      </x:c>
      <x:c r="D113" s="10">
        <x:v>0.002916</x:v>
      </x:c>
      <x:c r="E113" s="10">
        <x:v>0.005131</x:v>
      </x:c>
    </x:row>
    <x:row r="114" spans="1:7">
      <x:c r="B114" s="9">
        <x:v>45449</x:v>
      </x:c>
      <x:c r="C114" s="10">
        <x:v>-0.002689</x:v>
      </x:c>
      <x:c r="D114" s="10">
        <x:v>-0.005997</x:v>
      </x:c>
      <x:c r="E114" s="10">
        <x:v>0.001211</x:v>
      </x:c>
    </x:row>
    <x:row r="115" spans="1:7">
      <x:c r="B115" s="9">
        <x:v>45450</x:v>
      </x:c>
      <x:c r="C115" s="10">
        <x:v>0.017795</x:v>
      </x:c>
      <x:c r="D115" s="10">
        <x:v>0.009578</x:v>
      </x:c>
      <x:c r="E115" s="10">
        <x:v>-0.004196</x:v>
      </x:c>
    </x:row>
    <x:row r="116" spans="1:7">
      <x:c r="B116" s="9">
        <x:v>45453</x:v>
      </x:c>
      <x:c r="C116" s="10">
        <x:v>-0.016162</x:v>
      </x:c>
      <x:c r="D116" s="10">
        <x:v>-0.004017</x:v>
      </x:c>
      <x:c r="E116" s="10">
        <x:v>0.002676</x:v>
      </x:c>
    </x:row>
    <x:row r="117" spans="1:7">
      <x:c r="B117" s="9">
        <x:v>45454</x:v>
      </x:c>
      <x:c r="C117" s="10">
        <x:v>0.00286</x:v>
      </x:c>
      <x:c r="D117" s="10">
        <x:v>0.010039</x:v>
      </x:c>
      <x:c r="E117" s="10">
        <x:v>0.010907</x:v>
      </x:c>
    </x:row>
    <x:row r="118" spans="1:7">
      <x:c r="B118" s="9">
        <x:v>45455</x:v>
      </x:c>
      <x:c r="C118" s="10">
        <x:v>-0.009384</x:v>
      </x:c>
      <x:c r="D118" s="10">
        <x:v>-0.007192</x:v>
      </x:c>
      <x:c r="E118" s="10">
        <x:v>-0.001887</x:v>
      </x:c>
    </x:row>
    <x:row r="119" spans="1:7">
      <x:c r="B119" s="9">
        <x:v>45456</x:v>
      </x:c>
      <x:c r="C119" s="10">
        <x:v>-0.010168</x:v>
      </x:c>
      <x:c r="D119" s="10">
        <x:v>-0.011528</x:v>
      </x:c>
      <x:c r="E119" s="10">
        <x:v>-0.014944</x:v>
      </x:c>
    </x:row>
    <x:row r="120" spans="1:7">
      <x:c r="B120" s="9">
        <x:v>45457</x:v>
      </x:c>
      <x:c r="C120" s="10">
        <x:v>6.5E-05</x:v>
      </x:c>
      <x:c r="D120" s="10">
        <x:v>-0.00278</x:v>
      </x:c>
      <x:c r="E120" s="10">
        <x:v>0.006042</x:v>
      </x:c>
    </x:row>
    <x:row r="121" spans="1:7">
      <x:c r="B121" s="9">
        <x:v>45460</x:v>
      </x:c>
      <x:c r="C121" s="10">
        <x:v>0.023171</x:v>
      </x:c>
      <x:c r="D121" s="10">
        <x:v>0.022344</x:v>
      </x:c>
      <x:c r="E121" s="10">
        <x:v>0.012897</x:v>
      </x:c>
    </x:row>
    <x:row r="122" spans="1:7">
      <x:c r="B122" s="9">
        <x:v>45461</x:v>
      </x:c>
      <x:c r="C122" s="10">
        <x:v>-0.004127</x:v>
      </x:c>
      <x:c r="D122" s="10">
        <x:v>0.001423</x:v>
      </x:c>
      <x:c r="E122" s="10">
        <x:v>-0.009674</x:v>
      </x:c>
    </x:row>
    <x:row r="123" spans="1:7">
      <x:c r="B123" s="9">
        <x:v>45462</x:v>
      </x:c>
      <x:c r="C123" s="10">
        <x:v>-0.009193</x:v>
      </x:c>
      <x:c r="D123" s="10">
        <x:v>-0.006409</x:v>
      </x:c>
      <x:c r="E123" s="10">
        <x:v>-0.010424</x:v>
      </x:c>
    </x:row>
    <x:row r="124" spans="1:7">
      <x:c r="B124" s="9">
        <x:v>45463</x:v>
      </x:c>
      <x:c r="C124" s="10">
        <x:v>-0.004721</x:v>
      </x:c>
      <x:c r="D124" s="10">
        <x:v>0.00089</x:v>
      </x:c>
      <x:c r="E124" s="10">
        <x:v>-0.001146</x:v>
      </x:c>
    </x:row>
    <x:row r="125" spans="1:7">
      <x:c r="B125" s="9">
        <x:v>45464</x:v>
      </x:c>
      <x:c r="C125" s="10">
        <x:v>-0.00969</x:v>
      </x:c>
      <x:c r="D125" s="10">
        <x:v>0.003038</x:v>
      </x:c>
      <x:c r="E125" s="10">
        <x:v>0.006479</x:v>
      </x:c>
    </x:row>
    <x:row r="126" spans="1:7">
      <x:c r="B126" s="9">
        <x:v>45467</x:v>
      </x:c>
      <x:c r="C126" s="10">
        <x:v>-0.005432</x:v>
      </x:c>
      <x:c r="D126" s="10">
        <x:v>-0.014082</x:v>
      </x:c>
      <x:c r="E126" s="10">
        <x:v>0.000855</x:v>
      </x:c>
    </x:row>
    <x:row r="127" spans="1:7">
      <x:c r="B127" s="9">
        <x:v>45468</x:v>
      </x:c>
      <x:c r="C127" s="10">
        <x:v>-0.013799</x:v>
      </x:c>
      <x:c r="D127" s="10">
        <x:v>-0.009545</x:v>
      </x:c>
      <x:c r="E127" s="10">
        <x:v>0.00551</x:v>
      </x:c>
    </x:row>
    <x:row r="128" spans="1:7">
      <x:c r="B128" s="9">
        <x:v>45469</x:v>
      </x:c>
      <x:c r="C128" s="10">
        <x:v>-0.008214</x:v>
      </x:c>
      <x:c r="D128" s="10">
        <x:v>-0.001343</x:v>
      </x:c>
      <x:c r="E128" s="10">
        <x:v>0.011931</x:v>
      </x:c>
    </x:row>
    <x:row r="129" spans="1:7">
      <x:c r="B129" s="9">
        <x:v>45470</x:v>
      </x:c>
      <x:c r="C129" s="10">
        <x:v>-0.004811</x:v>
      </x:c>
      <x:c r="D129" s="10">
        <x:v>-0.007735</x:v>
      </x:c>
      <x:c r="E129" s="10">
        <x:v>-0.008748</x:v>
      </x:c>
    </x:row>
    <x:row r="130" spans="1:7">
      <x:c r="B130" s="9">
        <x:v>45471</x:v>
      </x:c>
      <x:c r="C130" s="10">
        <x:v>0.007925</x:v>
      </x:c>
      <x:c r="D130" s="10">
        <x:v>0.008192</x:v>
      </x:c>
      <x:c r="E130" s="10">
        <x:v>3.3E-05</x:v>
      </x:c>
    </x:row>
    <x:row r="131" spans="1:7">
      <x:c r="B131" s="9">
        <x:v>45474</x:v>
      </x:c>
      <x:c r="C131" s="10">
        <x:v>-0.013378</x:v>
      </x:c>
      <x:c r="D131" s="10">
        <x:v>-0.009408</x:v>
      </x:c>
      <x:c r="E131" s="10">
        <x:v>0.00269</x:v>
      </x:c>
    </x:row>
    <x:row r="132" spans="1:7">
      <x:c r="B132" s="9">
        <x:v>45475</x:v>
      </x:c>
      <x:c r="C132" s="10">
        <x:v>-0.011802</x:v>
      </x:c>
      <x:c r="D132" s="10">
        <x:v>-0.009026</x:v>
      </x:c>
      <x:c r="E132" s="10">
        <x:v>-0.004673</x:v>
      </x:c>
    </x:row>
    <x:row r="133" spans="1:7">
      <x:c r="B133" s="9">
        <x:v>45476</x:v>
      </x:c>
      <x:c r="C133" s="10">
        <x:v>-0.0219</x:v>
      </x:c>
      <x:c r="D133" s="10">
        <x:v>-0.010202</x:v>
      </x:c>
      <x:c r="E133" s="10">
        <x:v>0.00098</x:v>
      </x:c>
    </x:row>
    <x:row r="134" spans="1:7">
      <x:c r="B134" s="9">
        <x:v>45477</x:v>
      </x:c>
      <x:c r="C134" s="10">
        <x:v>0.007057</x:v>
      </x:c>
      <x:c r="D134" s="10">
        <x:v>-0.0024</x:v>
      </x:c>
      <x:c r="E134" s="10">
        <x:v>2.4E-05</x:v>
      </x:c>
    </x:row>
    <x:row r="135" spans="1:7">
      <x:c r="B135" s="9">
        <x:v>45478</x:v>
      </x:c>
      <x:c r="C135" s="10">
        <x:v>-0.017094</x:v>
      </x:c>
      <x:c r="D135" s="10">
        <x:v>-0.019073</x:v>
      </x:c>
      <x:c r="E135" s="10">
        <x:v>-0.000113</x:v>
      </x:c>
    </x:row>
    <x:row r="136" spans="1:7">
      <x:c r="B136" s="9">
        <x:v>45481</x:v>
      </x:c>
      <x:c r="C136" s="10">
        <x:v>-0.001502</x:v>
      </x:c>
      <x:c r="D136" s="10">
        <x:v>0.012839</x:v>
      </x:c>
      <x:c r="E136" s="10">
        <x:v>-0.019635</x:v>
      </x:c>
    </x:row>
    <x:row r="137" spans="1:7">
      <x:c r="B137" s="9">
        <x:v>45482</x:v>
      </x:c>
      <x:c r="C137" s="10">
        <x:v>-0.006899</x:v>
      </x:c>
      <x:c r="D137" s="10">
        <x:v>-0.005501</x:v>
      </x:c>
      <x:c r="E137" s="10">
        <x:v>-0.006078</x:v>
      </x:c>
    </x:row>
    <x:row r="138" spans="1:7">
      <x:c r="B138" s="9">
        <x:v>45483</x:v>
      </x:c>
      <x:c r="C138" s="10">
        <x:v>-0.003548</x:v>
      </x:c>
      <x:c r="D138" s="10">
        <x:v>0.000621</x:v>
      </x:c>
      <x:c r="E138" s="10">
        <x:v>0.006986</x:v>
      </x:c>
    </x:row>
    <x:row r="139" spans="1:7">
      <x:c r="B139" s="9">
        <x:v>45484</x:v>
      </x:c>
      <x:c r="C139" s="10">
        <x:v>0.01567</x:v>
      </x:c>
      <x:c r="D139" s="10">
        <x:v>0.018199</x:v>
      </x:c>
      <x:c r="E139" s="10">
        <x:v>0.015948</x:v>
      </x:c>
    </x:row>
    <x:row r="140" spans="1:7">
      <x:c r="B140" s="9">
        <x:v>45485</x:v>
      </x:c>
      <x:c r="C140" s="10">
        <x:v>0.020504</x:v>
      </x:c>
      <x:c r="D140" s="10">
        <x:v>0.020634</x:v>
      </x:c>
      <x:c r="E140" s="10">
        <x:v>-0.008924</x:v>
      </x:c>
    </x:row>
    <x:row r="141" spans="1:7">
      <x:c r="B141" s="9">
        <x:v>45488</x:v>
      </x:c>
      <x:c r="C141" s="10">
        <x:v>0.039833</x:v>
      </x:c>
      <x:c r="D141" s="10">
        <x:v>0.037428</x:v>
      </x:c>
      <x:c r="E141" s="10">
        <x:v>-0.016245</x:v>
      </x:c>
    </x:row>
    <x:row r="142" spans="1:7">
      <x:c r="B142" s="9">
        <x:v>45489</x:v>
      </x:c>
      <x:c r="C142" s="10">
        <x:v>-0.007956</x:v>
      </x:c>
      <x:c r="D142" s="10">
        <x:v>-0.032042</x:v>
      </x:c>
      <x:c r="E142" s="10">
        <x:v>-0.003458</x:v>
      </x:c>
    </x:row>
    <x:row r="143" spans="1:7">
      <x:c r="B143" s="9">
        <x:v>45490</x:v>
      </x:c>
      <x:c r="C143" s="10">
        <x:v>0.057939</x:v>
      </x:c>
      <x:c r="D143" s="10">
        <x:v>0.049206</x:v>
      </x:c>
      <x:c r="E143" s="10">
        <x:v>0.026317</x:v>
      </x:c>
    </x:row>
    <x:row r="144" spans="1:7">
      <x:c r="B144" s="9">
        <x:v>45491</x:v>
      </x:c>
      <x:c r="C144" s="10">
        <x:v>0.033907</x:v>
      </x:c>
      <x:c r="D144" s="10">
        <x:v>0.026012</x:v>
      </x:c>
      <x:c r="E144" s="10">
        <x:v>0.00831</x:v>
      </x:c>
    </x:row>
    <x:row r="145" spans="1:7">
      <x:c r="B145" s="9">
        <x:v>45492</x:v>
      </x:c>
      <x:c r="C145" s="10">
        <x:v>0.009943</x:v>
      </x:c>
      <x:c r="D145" s="10">
        <x:v>0.001904</x:v>
      </x:c>
      <x:c r="E145" s="10">
        <x:v>-0.048728</x:v>
      </x:c>
    </x:row>
    <x:row r="146" spans="1:7">
      <x:c r="B146" s="9">
        <x:v>45495</x:v>
      </x:c>
      <x:c r="C146" s="10">
        <x:v>-0.017201</x:v>
      </x:c>
      <x:c r="D146" s="10">
        <x:v>0.014322</x:v>
      </x:c>
      <x:c r="E146" s="10">
        <x:v>0.03208</x:v>
      </x:c>
    </x:row>
    <x:row r="147" spans="1:7">
      <x:c r="B147" s="9">
        <x:v>45496</x:v>
      </x:c>
      <x:c r="C147" s="10">
        <x:v>-0.023607</x:v>
      </x:c>
      <x:c r="D147" s="10">
        <x:v>-0.012122</x:v>
      </x:c>
      <x:c r="E147" s="10">
        <x:v>-0.039682</x:v>
      </x:c>
    </x:row>
    <x:row r="148" spans="1:7">
      <x:c r="B148" s="9">
        <x:v>45497</x:v>
      </x:c>
      <x:c r="C148" s="10">
        <x:v>0.006139</x:v>
      </x:c>
      <x:c r="D148" s="10">
        <x:v>0.008437</x:v>
      </x:c>
      <x:c r="E148" s="10">
        <x:v>0.026924</x:v>
      </x:c>
    </x:row>
    <x:row r="149" spans="1:7">
      <x:c r="B149" s="9">
        <x:v>45498</x:v>
      </x:c>
      <x:c r="C149" s="10">
        <x:v>0.042368</x:v>
      </x:c>
      <x:c r="D149" s="10">
        <x:v>0.036538</x:v>
      </x:c>
      <x:c r="E149" s="10">
        <x:v>-0.020852</x:v>
      </x:c>
    </x:row>
    <x:row r="150" spans="1:7">
      <x:c r="B150" s="9">
        <x:v>45499</x:v>
      </x:c>
      <x:c r="C150" s="10">
        <x:v>0.02969</x:v>
      </x:c>
      <x:c r="D150" s="10">
        <x:v>0.027817</x:v>
      </x:c>
      <x:c r="E150" s="10">
        <x:v>-0.019888</x:v>
      </x:c>
    </x:row>
    <x:row r="151" spans="1:7">
      <x:c r="B151" s="9">
        <x:v>45502</x:v>
      </x:c>
      <x:c r="C151" s="10">
        <x:v>0.025313</x:v>
      </x:c>
      <x:c r="D151" s="10">
        <x:v>0.020035</x:v>
      </x:c>
      <x:c r="E151" s="10">
        <x:v>-0.003101</x:v>
      </x:c>
    </x:row>
    <x:row r="152" spans="1:7">
      <x:c r="B152" s="9">
        <x:v>45503</x:v>
      </x:c>
      <x:c r="C152" s="10">
        <x:v>0.007788</x:v>
      </x:c>
      <x:c r="D152" s="10">
        <x:v>-0.002683</x:v>
      </x:c>
      <x:c r="E152" s="10">
        <x:v>6.1E-05</x:v>
      </x:c>
    </x:row>
    <x:row r="153" spans="1:7">
      <x:c r="B153" s="9">
        <x:v>45504</x:v>
      </x:c>
      <x:c r="C153" s="10">
        <x:v>-0.029673</x:v>
      </x:c>
      <x:c r="D153" s="10">
        <x:v>-0.026298</x:v>
      </x:c>
      <x:c r="E153" s="10">
        <x:v>-0.012163</x:v>
      </x:c>
    </x:row>
    <x:row r="154" spans="1:7">
      <x:c r="B154" s="9">
        <x:v>45505</x:v>
      </x:c>
      <x:c r="C154" s="10">
        <x:v>-0.018697</x:v>
      </x:c>
      <x:c r="D154" s="10">
        <x:v>-0.015574</x:v>
      </x:c>
      <x:c r="E154" s="10">
        <x:v>0.013536</x:v>
      </x:c>
    </x:row>
    <x:row r="155" spans="1:7">
      <x:c r="B155" s="9">
        <x:v>45506</x:v>
      </x:c>
      <x:c r="C155" s="10">
        <x:v>0.038268</x:v>
      </x:c>
      <x:c r="D155" s="10">
        <x:v>0.048465</x:v>
      </x:c>
      <x:c r="E155" s="10">
        <x:v>0.008595</x:v>
      </x:c>
    </x:row>
    <x:row r="156" spans="1:7">
      <x:c r="B156" s="9">
        <x:v>45509</x:v>
      </x:c>
      <x:c r="C156" s="10">
        <x:v>-0.002259</x:v>
      </x:c>
      <x:c r="D156" s="10">
        <x:v>0.00284</x:v>
      </x:c>
      <x:c r="E156" s="10">
        <x:v>-0.006422</x:v>
      </x:c>
    </x:row>
    <x:row r="157" spans="1:7">
      <x:c r="B157" s="9">
        <x:v>45510</x:v>
      </x:c>
      <x:c r="C157" s="10">
        <x:v>-0.017637</x:v>
      </x:c>
      <x:c r="D157" s="10">
        <x:v>-0.013147</x:v>
      </x:c>
      <x:c r="E157" s="10">
        <x:v>-0.015116</x:v>
      </x:c>
    </x:row>
    <x:row r="158" spans="1:7">
      <x:c r="B158" s="9">
        <x:v>45511</x:v>
      </x:c>
      <x:c r="C158" s="10">
        <x:v>-0.003621</x:v>
      </x:c>
      <x:c r="D158" s="10">
        <x:v>-0.017533</x:v>
      </x:c>
      <x:c r="E158" s="10">
        <x:v>0.000698</x:v>
      </x:c>
    </x:row>
    <x:row r="159" spans="1:7">
      <x:c r="B159" s="9">
        <x:v>45512</x:v>
      </x:c>
      <x:c r="C159" s="10">
        <x:v>0.024866</x:v>
      </x:c>
      <x:c r="D159" s="10">
        <x:v>0.016513</x:v>
      </x:c>
      <x:c r="E159" s="10">
        <x:v>-0.007251</x:v>
      </x:c>
    </x:row>
    <x:row r="160" spans="1:7">
      <x:c r="B160" s="9">
        <x:v>45513</x:v>
      </x:c>
      <x:c r="C160" s="10">
        <x:v>-0.002562</x:v>
      </x:c>
      <x:c r="D160" s="10">
        <x:v>-0.005369</x:v>
      </x:c>
      <x:c r="E160" s="10">
        <x:v>0.007462</x:v>
      </x:c>
    </x:row>
    <x:row r="161" spans="1:7">
      <x:c r="B161" s="9">
        <x:v>45516</x:v>
      </x:c>
      <x:c r="C161" s="10">
        <x:v>0.007465</x:v>
      </x:c>
      <x:c r="D161" s="10">
        <x:v>0.011567</x:v>
      </x:c>
      <x:c r="E161" s="10">
        <x:v>0.013412</x:v>
      </x:c>
    </x:row>
    <x:row r="162" spans="1:7">
      <x:c r="B162" s="9">
        <x:v>45517</x:v>
      </x:c>
      <x:c r="C162" s="10">
        <x:v>0.007961</x:v>
      </x:c>
      <x:c r="D162" s="10">
        <x:v>0.002256</x:v>
      </x:c>
      <x:c r="E162" s="10">
        <x:v>0.010235</x:v>
      </x:c>
    </x:row>
    <x:row r="163" spans="1:7">
      <x:c r="B163" s="9">
        <x:v>45518</x:v>
      </x:c>
      <x:c r="C163" s="10">
        <x:v>0.03589</x:v>
      </x:c>
      <x:c r="D163" s="10">
        <x:v>-0.033495</x:v>
      </x:c>
      <x:c r="E163" s="10">
        <x:v>-6E-05</x:v>
      </x:c>
    </x:row>
    <x:row r="164" spans="1:7">
      <x:c r="B164" s="9">
        <x:v>45519</x:v>
      </x:c>
      <x:c r="C164" s="10">
        <x:v>0.009538</x:v>
      </x:c>
      <x:c r="D164" s="10">
        <x:v>0.0044</x:v>
      </x:c>
      <x:c r="E164" s="10">
        <x:v>0.017591</x:v>
      </x:c>
    </x:row>
    <x:row r="165" spans="1:7">
      <x:c r="B165" s="9">
        <x:v>45520</x:v>
      </x:c>
      <x:c r="C165" s="10">
        <x:v>0.005179</x:v>
      </x:c>
      <x:c r="D165" s="10">
        <x:v>-0.003458</x:v>
      </x:c>
      <x:c r="E165" s="10">
        <x:v>0.004269</x:v>
      </x:c>
    </x:row>
    <x:row r="166" spans="1:7">
      <x:c r="B166" s="9">
        <x:v>45523</x:v>
      </x:c>
      <x:c r="C166" s="10">
        <x:v>0.000353</x:v>
      </x:c>
      <x:c r="D166" s="10">
        <x:v>-0.021034</x:v>
      </x:c>
      <x:c r="E166" s="10">
        <x:v>-0.001097</x:v>
      </x:c>
    </x:row>
    <x:row r="167" spans="1:7">
      <x:c r="B167" s="9">
        <x:v>45524</x:v>
      </x:c>
      <x:c r="C167" s="10">
        <x:v>0.003234</x:v>
      </x:c>
      <x:c r="D167" s="10">
        <x:v>-0.007168</x:v>
      </x:c>
      <x:c r="E167" s="10">
        <x:v>0.008905</x:v>
      </x:c>
    </x:row>
    <x:row r="168" spans="1:7">
      <x:c r="B168" s="9">
        <x:v>45525</x:v>
      </x:c>
      <x:c r="C168" s="10">
        <x:v>0.023591</x:v>
      </x:c>
      <x:c r="D168" s="10">
        <x:v>0.009535</x:v>
      </x:c>
      <x:c r="E168" s="10">
        <x:v>-0.008981</x:v>
      </x:c>
    </x:row>
    <x:row r="169" spans="1:7">
      <x:c r="B169" s="9">
        <x:v>45526</x:v>
      </x:c>
      <x:c r="C169" s="10">
        <x:v>-0.015925</x:v>
      </x:c>
      <x:c r="D169" s="10">
        <x:v>-0.003907</x:v>
      </x:c>
      <x:c r="E169" s="10">
        <x:v>-0.003173</x:v>
      </x:c>
    </x:row>
    <x:row r="170" spans="1:7">
      <x:c r="B170" s="9">
        <x:v>45527</x:v>
      </x:c>
      <x:c r="C170" s="10">
        <x:v>0.009832</x:v>
      </x:c>
      <x:c r="D170" s="10">
        <x:v>0.022413</x:v>
      </x:c>
      <x:c r="E170" s="10">
        <x:v>-0.007502</x:v>
      </x:c>
    </x:row>
    <x:row r="171" spans="1:7">
      <x:c r="B171" s="9">
        <x:v>45530</x:v>
      </x:c>
      <x:c r="C171" s="10">
        <x:v>0.001905</x:v>
      </x:c>
      <x:c r="D171" s="10">
        <x:v>-0.00612</x:v>
      </x:c>
      <x:c r="E171" s="10">
        <x:v>0.004864</x:v>
      </x:c>
    </x:row>
    <x:row r="172" spans="1:7">
      <x:c r="B172" s="9">
        <x:v>45531</x:v>
      </x:c>
      <x:c r="C172" s="10">
        <x:v>-0.000485</x:v>
      </x:c>
      <x:c r="D172" s="10">
        <x:v>1.4E-05</x:v>
      </x:c>
      <x:c r="E172" s="10">
        <x:v>-0.008489</x:v>
      </x:c>
    </x:row>
    <x:row r="173" spans="1:7">
      <x:c r="B173" s="9">
        <x:v>45532</x:v>
      </x:c>
      <x:c r="C173" s="10">
        <x:v>-0.004567</x:v>
      </x:c>
      <x:c r="D173" s="10">
        <x:v>0.005306</x:v>
      </x:c>
      <x:c r="E173" s="10">
        <x:v>0.001087</x:v>
      </x:c>
    </x:row>
    <x:row r="174" spans="1:7">
      <x:c r="B174" s="9">
        <x:v>45533</x:v>
      </x:c>
      <x:c r="C174" s="10">
        <x:v>0.028104</x:v>
      </x:c>
      <x:c r="D174" s="10">
        <x:v>0.033683</x:v>
      </x:c>
      <x:c r="E174" s="10">
        <x:v>0.024299</x:v>
      </x:c>
    </x:row>
    <x:row r="175" spans="1:7">
      <x:c r="B175" s="9">
        <x:v>45534</x:v>
      </x:c>
      <x:c r="C175" s="10">
        <x:v>-0.003137</x:v>
      </x:c>
      <x:c r="D175" s="10">
        <x:v>-0.005726</x:v>
      </x:c>
      <x:c r="E175" s="10">
        <x:v>0.003461</x:v>
      </x:c>
    </x:row>
    <x:row r="176" spans="1:7">
      <x:c r="B176" s="9">
        <x:v>45537</x:v>
      </x:c>
      <x:c r="C176" s="10">
        <x:v>0.000696</x:v>
      </x:c>
      <x:c r="D176" s="10">
        <x:v>0.010031</x:v>
      </x:c>
      <x:c r="E176" s="10">
        <x:v>0.006091</x:v>
      </x:c>
    </x:row>
    <x:row r="177" spans="1:7">
      <x:c r="B177" s="9">
        <x:v>45538</x:v>
      </x:c>
      <x:c r="C177" s="10">
        <x:v>-0.004915</x:v>
      </x:c>
      <x:c r="D177" s="10">
        <x:v>0.003985</x:v>
      </x:c>
      <x:c r="E177" s="10">
        <x:v>-0.009604</x:v>
      </x:c>
    </x:row>
    <x:row r="178" spans="1:7">
      <x:c r="B178" s="9">
        <x:v>45539</x:v>
      </x:c>
      <x:c r="C178" s="10">
        <x:v>0.022395</x:v>
      </x:c>
      <x:c r="D178" s="10">
        <x:v>0.006641</x:v>
      </x:c>
      <x:c r="E178" s="10">
        <x:v>0.00592</x:v>
      </x:c>
    </x:row>
    <x:row r="179" spans="1:7">
      <x:c r="B179" s="9">
        <x:v>45540</x:v>
      </x:c>
      <x:c r="C179" s="10">
        <x:v>-0.002102</x:v>
      </x:c>
      <x:c r="D179" s="10">
        <x:v>0.002508</x:v>
      </x:c>
      <x:c r="E179" s="10">
        <x:v>0.009257</x:v>
      </x:c>
    </x:row>
    <x:row r="180" spans="1:7">
      <x:c r="B180" s="9">
        <x:v>45541</x:v>
      </x:c>
      <x:c r="C180" s="10">
        <x:v>-0.016143</x:v>
      </x:c>
      <x:c r="D180" s="10">
        <x:v>0.001138</x:v>
      </x:c>
      <x:c r="E180" s="10">
        <x:v>0.022683</x:v>
      </x:c>
    </x:row>
    <x:row r="181" spans="1:7">
      <x:c r="B181" s="9">
        <x:v>45544</x:v>
      </x:c>
      <x:c r="C181" s="10">
        <x:v>-0.026166</x:v>
      </x:c>
      <x:c r="D181" s="10">
        <x:v>-0.021352</x:v>
      </x:c>
      <x:c r="E181" s="10">
        <x:v>-0.001052</x:v>
      </x:c>
    </x:row>
    <x:row r="182" spans="1:7">
      <x:c r="B182" s="9">
        <x:v>45545</x:v>
      </x:c>
      <x:c r="C182" s="10">
        <x:v>-0.001242</x:v>
      </x:c>
      <x:c r="D182" s="10">
        <x:v>-0.007716</x:v>
      </x:c>
      <x:c r="E182" s="10">
        <x:v>-0.002754</x:v>
      </x:c>
    </x:row>
    <x:row r="183" spans="1:7">
      <x:c r="B183" s="9">
        <x:v>45546</x:v>
      </x:c>
      <x:c r="C183" s="10">
        <x:v>-0.007927</x:v>
      </x:c>
      <x:c r="D183" s="10">
        <x:v>-0.008298</x:v>
      </x:c>
      <x:c r="E183" s="10">
        <x:v>0.005995</x:v>
      </x:c>
    </x:row>
    <x:row r="184" spans="1:7">
      <x:c r="B184" s="9">
        <x:v>45547</x:v>
      </x:c>
      <x:c r="C184" s="10">
        <x:v>0.006427</x:v>
      </x:c>
      <x:c r="D184" s="10">
        <x:v>0.000505</x:v>
      </x:c>
      <x:c r="E184" s="10">
        <x:v>0.010792</x:v>
      </x:c>
    </x:row>
    <x:row r="185" spans="1:7">
      <x:c r="B185" s="9">
        <x:v>45548</x:v>
      </x:c>
      <x:c r="C185" s="10">
        <x:v>-0.003911</x:v>
      </x:c>
      <x:c r="D185" s="10">
        <x:v>-0.009248</x:v>
      </x:c>
      <x:c r="E185" s="10">
        <x:v>-0.00237</x:v>
      </x:c>
    </x:row>
    <x:row r="186" spans="1:7">
      <x:c r="B186" s="9">
        <x:v>45551</x:v>
      </x:c>
      <x:c r="C186" s="10">
        <x:v>0.00311</x:v>
      </x:c>
      <x:c r="D186" s="10">
        <x:v>0.008845</x:v>
      </x:c>
      <x:c r="E186" s="10">
        <x:v>9.8E-05</x:v>
      </x:c>
    </x:row>
    <x:row r="187" spans="1:7">
      <x:c r="B187" s="9">
        <x:v>45552</x:v>
      </x:c>
      <x:c r="C187" s="10">
        <x:v>-0.013868</x:v>
      </x:c>
      <x:c r="D187" s="10">
        <x:v>-0.006674</x:v>
      </x:c>
      <x:c r="E187" s="10">
        <x:v>0.006036</x:v>
      </x:c>
    </x:row>
    <x:row r="188" spans="1:7">
      <x:c r="B188" s="9">
        <x:v>45553</x:v>
      </x:c>
      <x:c r="C188" s="10">
        <x:v>-0.033116</x:v>
      </x:c>
      <x:c r="D188" s="10">
        <x:v>-0.038704</x:v>
      </x:c>
      <x:c r="E188" s="10">
        <x:v>-0.019655</x:v>
      </x:c>
    </x:row>
    <x:row r="189" spans="1:7">
      <x:c r="B189" s="9">
        <x:v>45554</x:v>
      </x:c>
      <x:c r="C189" s="10">
        <x:v>0.005607</x:v>
      </x:c>
      <x:c r="D189" s="10">
        <x:v>0.004321</x:v>
      </x:c>
      <x:c r="E189" s="10">
        <x:v>-0.00358</x:v>
      </x:c>
    </x:row>
    <x:row r="190" spans="1:7">
      <x:c r="B190" s="9">
        <x:v>45555</x:v>
      </x:c>
      <x:c r="C190" s="10">
        <x:v>-0.002239</x:v>
      </x:c>
      <x:c r="D190" s="10">
        <x:v>-0.004778</x:v>
      </x:c>
      <x:c r="E190" s="10">
        <x:v>-0.002454</x:v>
      </x:c>
    </x:row>
    <x:row r="191" spans="1:7">
      <x:c r="B191" s="9">
        <x:v>45558</x:v>
      </x:c>
      <x:c r="C191" s="10">
        <x:v>-0.001701</x:v>
      </x:c>
      <x:c r="D191" s="10">
        <x:v>-0.005228</x:v>
      </x:c>
      <x:c r="E191" s="10">
        <x:v>0.00192</x:v>
      </x:c>
    </x:row>
    <x:row r="192" spans="1:7">
      <x:c r="B192" s="9">
        <x:v>45559</x:v>
      </x:c>
      <x:c r="C192" s="10">
        <x:v>0.001326</x:v>
      </x:c>
      <x:c r="D192" s="10">
        <x:v>-0.002093</x:v>
      </x:c>
      <x:c r="E192" s="10">
        <x:v>-0.003672</x:v>
      </x:c>
    </x:row>
    <x:row r="193" spans="1:7">
      <x:c r="B193" s="9">
        <x:v>45560</x:v>
      </x:c>
      <x:c r="C193" s="10">
        <x:v>-0.012886</x:v>
      </x:c>
      <x:c r="D193" s="10">
        <x:v>-0.004262</x:v>
      </x:c>
      <x:c r="E193" s="10">
        <x:v>0.003855</x:v>
      </x:c>
    </x:row>
    <x:row r="194" spans="1:7">
      <x:c r="B194" s="9">
        <x:v>45561</x:v>
      </x:c>
      <x:c r="C194" s="10">
        <x:v>-0.00473</x:v>
      </x:c>
      <x:c r="D194" s="10">
        <x:v>-0.005491</x:v>
      </x:c>
      <x:c r="E194" s="10">
        <x:v>-0.009208</x:v>
      </x:c>
    </x:row>
    <x:row r="195" spans="1:7">
      <x:c r="B195" s="9">
        <x:v>45562</x:v>
      </x:c>
      <x:c r="C195" s="10">
        <x:v>0.010567</x:v>
      </x:c>
      <x:c r="D195" s="10">
        <x:v>0.005282</x:v>
      </x:c>
      <x:c r="E195" s="10">
        <x:v>0.007486</x:v>
      </x:c>
    </x:row>
    <x:row r="196" spans="1:7">
      <x:c r="B196" s="9">
        <x:v>45565</x:v>
      </x:c>
      <x:c r="C196" s="10">
        <x:v>-0.008117</x:v>
      </x:c>
      <x:c r="D196" s="10">
        <x:v>0.004863</x:v>
      </x:c>
      <x:c r="E196" s="10">
        <x:v>0.009541</x:v>
      </x:c>
    </x:row>
    <x:row r="197" spans="1:7">
      <x:c r="B197" s="9">
        <x:v>45566</x:v>
      </x:c>
      <x:c r="C197" s="10">
        <x:v>-0.003926</x:v>
      </x:c>
      <x:c r="D197" s="10">
        <x:v>-0.000707</x:v>
      </x:c>
      <x:c r="E197" s="10">
        <x:v>-0.00172</x:v>
      </x:c>
    </x:row>
    <x:row r="198" spans="1:7">
      <x:c r="B198" s="9">
        <x:v>45567</x:v>
      </x:c>
      <x:c r="C198" s="10">
        <x:v>0.009003</x:v>
      </x:c>
      <x:c r="D198" s="10">
        <x:v>-0.010564</x:v>
      </x:c>
      <x:c r="E198" s="10">
        <x:v>-0.003373</x:v>
      </x:c>
    </x:row>
    <x:row r="199" spans="1:7">
      <x:c r="B199" s="9">
        <x:v>45568</x:v>
      </x:c>
      <x:c r="C199" s="10">
        <x:v>0.000517</x:v>
      </x:c>
      <x:c r="D199" s="10">
        <x:v>0.010043</x:v>
      </x:c>
      <x:c r="E199" s="10">
        <x:v>0.00281</x:v>
      </x:c>
    </x:row>
    <x:row r="200" spans="1:7">
      <x:c r="B200" s="9">
        <x:v>45569</x:v>
      </x:c>
      <x:c r="C200" s="10">
        <x:v>-0.00465</x:v>
      </x:c>
      <x:c r="D200" s="10">
        <x:v>-0.000522</x:v>
      </x:c>
      <x:c r="E200" s="10">
        <x:v>0.002618</x:v>
      </x:c>
    </x:row>
    <x:row r="201" spans="1:7">
      <x:c r="B201" s="9">
        <x:v>45572</x:v>
      </x:c>
      <x:c r="C201" s="10">
        <x:v>0.038117</x:v>
      </x:c>
      <x:c r="D201" s="10">
        <x:v>0.029847</x:v>
      </x:c>
      <x:c r="E201" s="10">
        <x:v>-0.004779</x:v>
      </x:c>
    </x:row>
    <x:row r="202" spans="1:7">
      <x:c r="B202" s="9">
        <x:v>45573</x:v>
      </x:c>
      <x:c r="C202" s="10">
        <x:v>0.018454</x:v>
      </x:c>
      <x:c r="D202" s="10">
        <x:v>0.008576</x:v>
      </x:c>
      <x:c r="E202" s="10">
        <x:v>0.006477</x:v>
      </x:c>
    </x:row>
    <x:row r="203" spans="1:7">
      <x:c r="B203" s="9">
        <x:v>45574</x:v>
      </x:c>
      <x:c r="C203" s="10">
        <x:v>0.032355</x:v>
      </x:c>
      <x:c r="D203" s="10">
        <x:v>0.037853</x:v>
      </x:c>
      <x:c r="E203" s="10">
        <x:v>-0.001431</x:v>
      </x:c>
    </x:row>
    <x:row r="204" spans="1:7">
      <x:c r="B204" s="9">
        <x:v>45575</x:v>
      </x:c>
      <x:c r="C204" s="10">
        <x:v>-0.002508</x:v>
      </x:c>
      <x:c r="D204" s="10">
        <x:v>-0.00393</x:v>
      </x:c>
      <x:c r="E204" s="10">
        <x:v>-0.003606</x:v>
      </x:c>
    </x:row>
    <x:row r="205" spans="1:7">
      <x:c r="B205" s="9">
        <x:v>45576</x:v>
      </x:c>
      <x:c r="C205" s="10">
        <x:v>0.006597</x:v>
      </x:c>
      <x:c r="D205" s="10">
        <x:v>0.006049</x:v>
      </x:c>
      <x:c r="E205" s="10">
        <x:v>0.006977</x:v>
      </x:c>
    </x:row>
    <x:row r="206" spans="1:7">
      <x:c r="B206" s="9">
        <x:v>45579</x:v>
      </x:c>
      <x:c r="C206" s="10">
        <x:v>-0.00439</x:v>
      </x:c>
      <x:c r="D206" s="10">
        <x:v>-0.005969</x:v>
      </x:c>
      <x:c r="E206" s="10">
        <x:v>0.014567</x:v>
      </x:c>
    </x:row>
    <x:row r="207" spans="1:7">
      <x:c r="B207" s="9">
        <x:v>45580</x:v>
      </x:c>
      <x:c r="C207" s="10">
        <x:v>0.002179</x:v>
      </x:c>
      <x:c r="D207" s="10">
        <x:v>-0.009868</x:v>
      </x:c>
      <x:c r="E207" s="10">
        <x:v>-0.015349</x:v>
      </x:c>
    </x:row>
    <x:row r="208" spans="1:7">
      <x:c r="B208" s="9">
        <x:v>45581</x:v>
      </x:c>
      <x:c r="C208" s="10">
        <x:v>-0.00907</x:v>
      </x:c>
      <x:c r="D208" s="10">
        <x:v>-0.012523</x:v>
      </x:c>
      <x:c r="E208" s="10">
        <x:v>-0.010765</x:v>
      </x:c>
    </x:row>
    <x:row r="209" spans="1:7">
      <x:c r="B209" s="9">
        <x:v>45582</x:v>
      </x:c>
      <x:c r="C209" s="10">
        <x:v>-0.01305</x:v>
      </x:c>
      <x:c r="D209" s="10">
        <x:v>-0.009636</x:v>
      </x:c>
      <x:c r="E209" s="10">
        <x:v>-0.009799</x:v>
      </x:c>
    </x:row>
    <x:row r="210" spans="1:7">
      <x:c r="B210" s="9">
        <x:v>45583</x:v>
      </x:c>
      <x:c r="C210" s="10">
        <x:v>-0.013757</x:v>
      </x:c>
      <x:c r="D210" s="10">
        <x:v>-0.013344</x:v>
      </x:c>
      <x:c r="E210" s="10">
        <x:v>-0.012371</x:v>
      </x:c>
    </x:row>
    <x:row r="211" spans="1:7">
      <x:c r="B211" s="9">
        <x:v>45586</x:v>
      </x:c>
      <x:c r="C211" s="10">
        <x:v>0.006491</x:v>
      </x:c>
      <x:c r="D211" s="10">
        <x:v>0.009391</x:v>
      </x:c>
      <x:c r="E211" s="10">
        <x:v>0.012145</x:v>
      </x:c>
    </x:row>
    <x:row r="212" spans="1:7">
      <x:c r="B212" s="9">
        <x:v>45587</x:v>
      </x:c>
      <x:c r="C212" s="10">
        <x:v>0.010794</x:v>
      </x:c>
      <x:c r="D212" s="10">
        <x:v>0.011172</x:v>
      </x:c>
      <x:c r="E212" s="10">
        <x:v>0.007281</x:v>
      </x:c>
    </x:row>
    <x:row r="213" spans="1:7">
      <x:c r="B213" s="9">
        <x:v>45588</x:v>
      </x:c>
      <x:c r="C213" s="10">
        <x:v>-6.1E-05</x:v>
      </x:c>
      <x:c r="D213" s="10">
        <x:v>-0.003296</x:v>
      </x:c>
      <x:c r="E213" s="10">
        <x:v>-0.010704</x:v>
      </x:c>
    </x:row>
    <x:row r="214" spans="1:7">
      <x:c r="B214" s="9">
        <x:v>45589</x:v>
      </x:c>
      <x:c r="C214" s="10">
        <x:v>-0.017011</x:v>
      </x:c>
      <x:c r="D214" s="10">
        <x:v>-0.022933</x:v>
      </x:c>
      <x:c r="E214" s="10">
        <x:v>0.009667</x:v>
      </x:c>
    </x:row>
    <x:row r="215" spans="1:7">
      <x:c r="B215" s="9">
        <x:v>45590</x:v>
      </x:c>
      <x:c r="C215" s="10">
        <x:v>0.002594</x:v>
      </x:c>
      <x:c r="D215" s="10">
        <x:v>0.010503</x:v>
      </x:c>
      <x:c r="E215" s="10">
        <x:v>0.005283</x:v>
      </x:c>
    </x:row>
    <x:row r="216" spans="1:7">
      <x:c r="B216" s="9">
        <x:v>45593</x:v>
      </x:c>
      <x:c r="C216" s="10">
        <x:v>-0.002223</x:v>
      </x:c>
      <x:c r="D216" s="10">
        <x:v>0.001933</x:v>
      </x:c>
      <x:c r="E216" s="10">
        <x:v>0.000684</x:v>
      </x:c>
    </x:row>
    <x:row r="217" spans="1:7">
      <x:c r="B217" s="9">
        <x:v>45594</x:v>
      </x:c>
      <x:c r="C217" s="10">
        <x:v>-0.001207</x:v>
      </x:c>
      <x:c r="D217" s="10">
        <x:v>-0.00072</x:v>
      </x:c>
      <x:c r="E217" s="10">
        <x:v>0.002893</x:v>
      </x:c>
    </x:row>
    <x:row r="218" spans="1:7">
      <x:c r="B218" s="9">
        <x:v>45595</x:v>
      </x:c>
      <x:c r="C218" s="10">
        <x:v>0.001326</x:v>
      </x:c>
      <x:c r="D218" s="10">
        <x:v>-0.006302</x:v>
      </x:c>
      <x:c r="E218" s="10">
        <x:v>-0.002032</x:v>
      </x:c>
    </x:row>
    <x:row r="219" spans="1:7">
      <x:c r="B219" s="9">
        <x:v>45596</x:v>
      </x:c>
      <x:c r="C219" s="10">
        <x:v>-0.004328</x:v>
      </x:c>
      <x:c r="D219" s="10">
        <x:v>0.001524</x:v>
      </x:c>
      <x:c r="E219" s="10">
        <x:v>-0.001507</x:v>
      </x:c>
    </x:row>
    <x:row r="220" spans="1:7">
      <x:c r="B220" s="9">
        <x:v>45597</x:v>
      </x:c>
      <x:c r="C220" s="10">
        <x:v>0.007442</x:v>
      </x:c>
      <x:c r="D220" s="10">
        <x:v>-0.005687</x:v>
      </x:c>
      <x:c r="E220" s="10">
        <x:v>-0.010592</x:v>
      </x:c>
    </x:row>
    <x:row r="221" spans="1:7">
      <x:c r="B221" s="9">
        <x:v>45600</x:v>
      </x:c>
      <x:c r="C221" s="10">
        <x:v>-0.007423</x:v>
      </x:c>
      <x:c r="D221" s="10">
        <x:v>-0.001722</x:v>
      </x:c>
      <x:c r="E221" s="10">
        <x:v>0.002754</x:v>
      </x:c>
    </x:row>
    <x:row r="222" spans="1:7">
      <x:c r="B222" s="9">
        <x:v>45601</x:v>
      </x:c>
      <x:c r="C222" s="10">
        <x:v>0.010662</x:v>
      </x:c>
      <x:c r="D222" s="10">
        <x:v>0.00772</x:v>
      </x:c>
      <x:c r="E222" s="10">
        <x:v>-0.003839</x:v>
      </x:c>
    </x:row>
    <x:row r="223" spans="1:7">
      <x:c r="B223" s="9">
        <x:v>45602</x:v>
      </x:c>
      <x:c r="C223" s="10">
        <x:v>-0.009025</x:v>
      </x:c>
      <x:c r="D223" s="10">
        <x:v>0.000278</x:v>
      </x:c>
      <x:c r="E223" s="10">
        <x:v>-0.019295</x:v>
      </x:c>
    </x:row>
    <x:row r="224" spans="1:7">
      <x:c r="B224" s="9">
        <x:v>45603</x:v>
      </x:c>
      <x:c r="C224" s="10">
        <x:v>0.000162</x:v>
      </x:c>
      <x:c r="D224" s="10">
        <x:v>0.000964</x:v>
      </x:c>
      <x:c r="E224" s="10">
        <x:v>-0.001968</x:v>
      </x:c>
    </x:row>
    <x:row r="225" spans="1:7">
      <x:c r="B225" s="9">
        <x:v>45604</x:v>
      </x:c>
      <x:c r="C225" s="10">
        <x:v>-0.008215</x:v>
      </x:c>
      <x:c r="D225" s="10">
        <x:v>-0.0041</x:v>
      </x:c>
      <x:c r="E225" s="10">
        <x:v>2.5E-05</x:v>
      </x:c>
    </x:row>
    <x:row r="226" spans="1:7">
      <x:c r="B226" s="9">
        <x:v>45607</x:v>
      </x:c>
      <x:c r="C226" s="10">
        <x:v>0.007724</x:v>
      </x:c>
      <x:c r="D226" s="10">
        <x:v>0.00954</x:v>
      </x:c>
      <x:c r="E226" s="10">
        <x:v>0.002831</x:v>
      </x:c>
    </x:row>
    <x:row r="227" spans="1:7">
      <x:c r="B227" s="9">
        <x:v>45608</x:v>
      </x:c>
      <x:c r="C227" s="10">
        <x:v>0.009108</x:v>
      </x:c>
      <x:c r="D227" s="10">
        <x:v>0.005983</x:v>
      </x:c>
      <x:c r="E227" s="10">
        <x:v>0.008819</x:v>
      </x:c>
    </x:row>
    <x:row r="228" spans="1:7">
      <x:c r="B228" s="9">
        <x:v>45609</x:v>
      </x:c>
      <x:c r="C228" s="10">
        <x:v>-0.003323</x:v>
      </x:c>
      <x:c r="D228" s="10">
        <x:v>-0.024313</x:v>
      </x:c>
      <x:c r="E228" s="10">
        <x:v>0.005787</x:v>
      </x:c>
    </x:row>
    <x:row r="229" spans="1:7">
      <x:c r="B229" s="9">
        <x:v>45610</x:v>
      </x:c>
      <x:c r="C229" s="10">
        <x:v>0.005972</x:v>
      </x:c>
      <x:c r="D229" s="10">
        <x:v>0.013863</x:v>
      </x:c>
      <x:c r="E229" s="10">
        <x:v>0.002298</x:v>
      </x:c>
    </x:row>
    <x:row r="230" spans="1:7">
      <x:c r="B230" s="9">
        <x:v>45611</x:v>
      </x:c>
      <x:c r="C230" s="10">
        <x:v>0.003878</x:v>
      </x:c>
      <x:c r="D230" s="10">
        <x:v>-0.012394</x:v>
      </x:c>
      <x:c r="E230" s="10">
        <x:v>-0.001545</x:v>
      </x:c>
    </x:row>
    <x:row r="231" spans="1:7">
      <x:c r="B231" s="9">
        <x:v>45614</x:v>
      </x:c>
      <x:c r="C231" s="10">
        <x:v>-0.009067</x:v>
      </x:c>
      <x:c r="D231" s="10">
        <x:v>-0.01363</x:v>
      </x:c>
      <x:c r="E231" s="10">
        <x:v>0.000117</x:v>
      </x:c>
    </x:row>
    <x:row r="232" spans="1:7">
      <x:c r="B232" s="9">
        <x:v>45615</x:v>
      </x:c>
      <x:c r="C232" s="10">
        <x:v>-0.006506</x:v>
      </x:c>
      <x:c r="D232" s="10">
        <x:v>0.002931</x:v>
      </x:c>
      <x:c r="E232" s="10">
        <x:v>-0.009587</x:v>
      </x:c>
    </x:row>
    <x:row r="233" spans="1:7">
      <x:c r="B233" s="9">
        <x:v>45616</x:v>
      </x:c>
      <x:c r="C233" s="10">
        <x:v>-0.001628</x:v>
      </x:c>
      <x:c r="D233" s="10">
        <x:v>0.001939</x:v>
      </x:c>
      <x:c r="E233" s="10">
        <x:v>0.00839</x:v>
      </x:c>
    </x:row>
    <x:row r="234" spans="1:7">
      <x:c r="B234" s="9">
        <x:v>45617</x:v>
      </x:c>
      <x:c r="C234" s="10">
        <x:v>-0.012015</x:v>
      </x:c>
      <x:c r="D234" s="10">
        <x:v>0.015855</x:v>
      </x:c>
      <x:c r="E234" s="10">
        <x:v>0.003551</x:v>
      </x:c>
    </x:row>
    <x:row r="235" spans="1:7">
      <x:c r="B235" s="9">
        <x:v>45618</x:v>
      </x:c>
      <x:c r="C235" s="10">
        <x:v>0.003109</x:v>
      </x:c>
      <x:c r="D235" s="10">
        <x:v>0.001944</x:v>
      </x:c>
      <x:c r="E235" s="10">
        <x:v>-0.007639</x:v>
      </x:c>
    </x:row>
    <x:row r="236" spans="1:7">
      <x:c r="B236" s="9">
        <x:v>45621</x:v>
      </x:c>
      <x:c r="C236" s="10">
        <x:v>-0.012016</x:v>
      </x:c>
      <x:c r="D236" s="10">
        <x:v>-0.004005</x:v>
      </x:c>
      <x:c r="E236" s="10">
        <x:v>-0.001498</x:v>
      </x:c>
    </x:row>
    <x:row r="237" spans="1:7">
      <x:c r="B237" s="9">
        <x:v>45622</x:v>
      </x:c>
      <x:c r="C237" s="10">
        <x:v>0.017277</x:v>
      </x:c>
      <x:c r="D237" s="10">
        <x:v>0.00375</x:v>
      </x:c>
      <x:c r="E237" s="10">
        <x:v>-0.00185</x:v>
      </x:c>
    </x:row>
    <x:row r="238" spans="1:7">
      <x:c r="B238" s="9">
        <x:v>45623</x:v>
      </x:c>
      <x:c r="C238" s="10">
        <x:v>-0.023494</x:v>
      </x:c>
      <x:c r="D238" s="10">
        <x:v>-0.022803</x:v>
      </x:c>
      <x:c r="E238" s="10">
        <x:v>0.012593</x:v>
      </x:c>
    </x:row>
    <x:row r="239" spans="1:7">
      <x:c r="B239" s="9">
        <x:v>45624</x:v>
      </x:c>
      <x:c r="C239" s="10">
        <x:v>-0.008255</x:v>
      </x:c>
      <x:c r="D239" s="10">
        <x:v>-0.008883</x:v>
      </x:c>
      <x:c r="E239" s="10">
        <x:v>-0.00563</x:v>
      </x:c>
    </x:row>
    <x:row r="240" spans="1:7">
      <x:c r="B240" s="9">
        <x:v>45625</x:v>
      </x:c>
      <x:c r="C240" s="10">
        <x:v>-0.001367</x:v>
      </x:c>
      <x:c r="D240" s="10">
        <x:v>0.003205</x:v>
      </x:c>
      <x:c r="E240" s="10">
        <x:v>0.00593</x:v>
      </x:c>
    </x:row>
    <x:row r="241" spans="1:7">
      <x:c r="B241" s="9">
        <x:v>45628</x:v>
      </x:c>
      <x:c r="C241" s="10">
        <x:v>0.002848</x:v>
      </x:c>
      <x:c r="D241" s="10">
        <x:v>-0.002642</x:v>
      </x:c>
      <x:c r="E241" s="10">
        <x:v>-0.009287</x:v>
      </x:c>
    </x:row>
    <x:row r="242" spans="1:7">
      <x:c r="B242" s="9">
        <x:v>45629</x:v>
      </x:c>
      <x:c r="C242" s="10">
        <x:v>0.007701</x:v>
      </x:c>
      <x:c r="D242" s="10">
        <x:v>0.004321</x:v>
      </x:c>
      <x:c r="E242" s="10">
        <x:v>0.001386</x:v>
      </x:c>
    </x:row>
    <x:row r="243" spans="1:7">
      <x:c r="B243" s="9">
        <x:v>45630</x:v>
      </x:c>
      <x:c r="C243" s="10">
        <x:v>0.005191</x:v>
      </x:c>
      <x:c r="D243" s="10">
        <x:v>0.005918</x:v>
      </x:c>
      <x:c r="E243" s="10">
        <x:v>0.00555</x:v>
      </x:c>
    </x:row>
    <x:row r="244" spans="1:7">
      <x:c r="B244" s="9">
        <x:v>45631</x:v>
      </x:c>
      <x:c r="C244" s="10">
        <x:v>-0.003634</x:v>
      </x:c>
      <x:c r="D244" s="10">
        <x:v>0.00274</x:v>
      </x:c>
      <x:c r="E244" s="10">
        <x:v>0.001249</x:v>
      </x:c>
    </x:row>
    <x:row r="245" spans="1:7">
      <x:c r="B245" s="9">
        <x:v>45632</x:v>
      </x:c>
      <x:c r="C245" s="10">
        <x:v>-0.008025</x:v>
      </x:c>
      <x:c r="D245" s="10">
        <x:v>0.000235</x:v>
      </x:c>
      <x:c r="E245" s="10">
        <x:v>-0.001442</x:v>
      </x:c>
    </x:row>
    <x:row r="246" spans="1:7">
      <x:c r="B246" s="9">
        <x:v>45635</x:v>
      </x:c>
      <x:c r="C246" s="10">
        <x:v>0.022391</x:v>
      </x:c>
      <x:c r="D246" s="10">
        <x:v>0.016648</x:v>
      </x:c>
      <x:c r="E246" s="10">
        <x:v>0.003395</x:v>
      </x:c>
    </x:row>
    <x:row r="247" spans="1:7">
      <x:c r="B247" s="9">
        <x:v>45636</x:v>
      </x:c>
      <x:c r="C247" s="10">
        <x:v>0.007156</x:v>
      </x:c>
      <x:c r="D247" s="10">
        <x:v>0.003416</x:v>
      </x:c>
      <x:c r="E247" s="10">
        <x:v>0.003677</x:v>
      </x:c>
    </x:row>
    <x:row r="248" spans="1:7">
      <x:c r="B248" s="9">
        <x:v>45637</x:v>
      </x:c>
      <x:c r="C248" s="10">
        <x:v>-0.010102</x:v>
      </x:c>
      <x:c r="D248" s="10">
        <x:v>-0.008573</x:v>
      </x:c>
      <x:c r="E248" s="10">
        <x:v>-0.003519</x:v>
      </x:c>
    </x:row>
    <x:row r="249" spans="1:7">
      <x:c r="B249" s="9">
        <x:v>45638</x:v>
      </x:c>
      <x:c r="C249" s="10">
        <x:v>0.006713</x:v>
      </x:c>
      <x:c r="D249" s="10">
        <x:v>0.005842</x:v>
      </x:c>
      <x:c r="E249" s="10">
        <x:v>0.000737</x:v>
      </x:c>
    </x:row>
    <x:row r="250" spans="1:7">
      <x:c r="B250" s="9">
        <x:v>45639</x:v>
      </x:c>
      <x:c r="C250" s="10">
        <x:v>0.022876</x:v>
      </x:c>
      <x:c r="D250" s="10">
        <x:v>0.017212</x:v>
      </x:c>
      <x:c r="E250" s="10">
        <x:v>0.013381</x:v>
      </x:c>
    </x:row>
    <x:row r="251" spans="1:7">
      <x:c r="B251" s="9">
        <x:v>45642</x:v>
      </x:c>
      <x:c r="C251" s="10">
        <x:v>0.000983</x:v>
      </x:c>
      <x:c r="D251" s="10">
        <x:v>0.005515</x:v>
      </x:c>
      <x:c r="E251" s="10">
        <x:v>0.013193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2"/>
  <x:sheetViews>
    <x:sheetView showGridLines="0" workbookViewId="0"/>
  </x:sheetViews>
  <x:sheetFormatPr defaultRowHeight="15"/>
  <x:cols>
    <x:col min="1" max="1" width="2.710625" style="0" customWidth="1"/>
    <x:col min="2" max="2" width="30.710625" style="0" customWidth="1"/>
    <x:col min="3" max="4" width="14.710625" style="0" customWidth="1"/>
    <x:col min="5" max="5" width="12.710625" style="0" customWidth="1"/>
    <x:col min="6" max="8" width="14.710625" style="0" customWidth="1"/>
    <x:col min="9" max="9" width="12.710625" style="0" customWidth="1"/>
    <x:col min="10" max="12" width="14.710625" style="0" customWidth="1"/>
  </x:cols>
  <x:sheetData>
    <x:row r="1" spans="1:12">
      <x:c r="B1" s="1" t="s">
        <x:v>27</x:v>
      </x:c>
    </x:row>
    <x:row r="2" spans="1:12">
      <x:c r="B2" s="11" t="s">
        <x:v>28</x:v>
      </x:c>
    </x:row>
    <x:row r="3" spans="1:12">
      <x:c r="B3" s="7" t="s">
        <x:v>29</x:v>
      </x:c>
      <x:c r="C3" s="8" t="s">
        <x:v>30</x:v>
      </x:c>
    </x:row>
    <x:row r="4" spans="1:12">
      <x:c r="B4" s="0" t="s">
        <x:v>31</x:v>
      </x:c>
      <x:c r="C4" s="12">
        <x:v>0.99</x:v>
      </x:c>
    </x:row>
    <x:row r="5" spans="1:12">
      <x:c r="B5" s="0" t="s">
        <x:v>32</x:v>
      </x:c>
      <x:c r="C5" s="13">
        <x:v>131072</x:v>
      </x:c>
    </x:row>
    <x:row r="6" spans="1:12">
      <x:c r="B6" s="0" t="s">
        <x:v>33</x:v>
      </x:c>
      <x:c r="C6" s="14">
        <x:v>42</x:v>
      </x:c>
    </x:row>
    <x:row r="7" spans="1:12">
      <x:c r="B7" s="0" t="s">
        <x:v>34</x:v>
      </x:c>
      <x:c r="C7" s="14">
        <x:v>10</x:v>
      </x:c>
    </x:row>
    <x:row r="8" spans="1:12">
      <x:c r="B8" s="0" t="s">
        <x:v>35</x:v>
      </x:c>
      <x:c r="C8" s="10">
        <x:v>0.02</x:v>
      </x:c>
    </x:row>
    <x:row r="9" spans="1:12">
      <x:c r="B9" s="0" t="s">
        <x:v>36</x:v>
      </x:c>
      <x:c r="C9" s="5" t="s">
        <x:v>37</x:v>
      </x:c>
    </x:row>
    <x:row r="10" spans="1:12">
      <x:c r="B10" s="0" t="s">
        <x:v>38</x:v>
      </x:c>
      <x:c r="C10" s="15">
        <x:v>0.97</x:v>
      </x:c>
    </x:row>
    <x:row r="11" spans="1:12">
      <x:c r="B11" s="0" t="s">
        <x:v>39</x:v>
      </x:c>
      <x:c r="C11" s="16">
        <x:f>QF.COV.OBJ("SAMPLE05_COV",ReturnsHeader,CovMethod,Lambda,,TRUE)</x:f>
      </x:c>
      <x:c r="D11" s="11" t="s">
        <x:v>40</x:v>
      </x:c>
    </x:row>
    <x:row r="13" spans="1:12">
      <x:c r="B13" s="7" t="s">
        <x:v>41</x:v>
      </x:c>
      <x:c r="C13" s="8" t="s">
        <x:v>42</x:v>
      </x:c>
      <x:c r="D13" s="8" t="s">
        <x:v>43</x:v>
      </x:c>
    </x:row>
    <x:row r="14" spans="1:12">
      <x:c r="B14" s="16">
        <x:f>Returns!C1</x:f>
      </x:c>
      <x:c r="C14" s="17">
        <x:v>5000</x:v>
      </x:c>
      <x:c r="D14" s="12">
        <x:v>0.19</x:v>
      </x:c>
      <x:c r="E14" s="11" t="s">
        <x:v>44</x:v>
      </x:c>
    </x:row>
    <x:row r="15" spans="1:12">
      <x:c r="B15" s="16">
        <x:f>Returns!D1</x:f>
      </x:c>
      <x:c r="C15" s="17">
        <x:v>6000</x:v>
      </x:c>
      <x:c r="D15" s="12">
        <x:v>0.17</x:v>
      </x:c>
    </x:row>
    <x:row r="16" spans="1:12">
      <x:c r="B16" s="16">
        <x:f>Returns!E1</x:f>
      </x:c>
      <x:c r="C16" s="17">
        <x:v>2500</x:v>
      </x:c>
      <x:c r="D16" s="12">
        <x:v>0.15</x:v>
      </x:c>
    </x:row>
    <x:row r="18" spans="1:12">
      <x:c r="B18" s="7" t="s">
        <x:v>41</x:v>
      </x:c>
      <x:c r="C18" s="8" t="s">
        <x:v>45</x:v>
      </x:c>
      <x:c r="D18" s="8" t="s">
        <x:v>46</x:v>
      </x:c>
      <x:c r="E18" s="8" t="s">
        <x:v>47</x:v>
      </x:c>
      <x:c r="F18" s="8" t="s">
        <x:v>48</x:v>
      </x:c>
      <x:c r="G18" s="8" t="s">
        <x:v>49</x:v>
      </x:c>
    </x:row>
    <x:row r="19" spans="1:12">
      <x:c r="B19" s="5" t="s">
        <x:v>23</x:v>
      </x:c>
      <x:c r="C19" s="5" t="s">
        <x:v>50</x:v>
      </x:c>
      <x:c r="D19" s="13">
        <x:v>40</x:v>
      </x:c>
      <x:c r="E19" s="18" t="s">
        <x:v>51</x:v>
      </x:c>
      <x:c r="F19" s="18" t="s">
        <x:v>51</x:v>
      </x:c>
      <x:c r="G19" s="18" t="s">
        <x:v>51</x:v>
      </x:c>
    </x:row>
    <x:row r="20" spans="1:12">
      <x:c r="B20" s="5" t="s">
        <x:v>24</x:v>
      </x:c>
      <x:c r="C20" s="5" t="s">
        <x:v>50</x:v>
      </x:c>
      <x:c r="D20" s="13">
        <x:v>25</x:v>
      </x:c>
      <x:c r="E20" s="18" t="s">
        <x:v>51</x:v>
      </x:c>
      <x:c r="F20" s="18" t="s">
        <x:v>51</x:v>
      </x:c>
      <x:c r="G20" s="18" t="s">
        <x:v>51</x:v>
      </x:c>
    </x:row>
    <x:row r="21" spans="1:12">
      <x:c r="B21" s="5" t="s">
        <x:v>25</x:v>
      </x:c>
      <x:c r="C21" s="5" t="s">
        <x:v>50</x:v>
      </x:c>
      <x:c r="D21" s="13">
        <x:v>60</x:v>
      </x:c>
      <x:c r="E21" s="18" t="s">
        <x:v>51</x:v>
      </x:c>
      <x:c r="F21" s="18" t="s">
        <x:v>51</x:v>
      </x:c>
      <x:c r="G21" s="18" t="s">
        <x:v>51</x:v>
      </x:c>
    </x:row>
    <x:row r="22" spans="1:12">
      <x:c r="B22" s="5" t="s">
        <x:v>24</x:v>
      </x:c>
      <x:c r="C22" s="5" t="s">
        <x:v>52</x:v>
      </x:c>
      <x:c r="D22" s="13">
        <x:v>25</x:v>
      </x:c>
      <x:c r="E22" s="19">
        <x:v>5700</x:v>
      </x:c>
      <x:c r="F22" s="20">
        <x:v>0.25</x:v>
      </x:c>
      <x:c r="G22" s="21">
        <x:v>0.013</x:v>
      </x:c>
    </x:row>
    <x:row r="23" spans="1:12">
      <x:c r="B23" s="5" t="s">
        <x:v>23</x:v>
      </x:c>
      <x:c r="C23" s="5" t="s">
        <x:v>53</x:v>
      </x:c>
      <x:c r="D23" s="13">
        <x:v>-40</x:v>
      </x:c>
      <x:c r="E23" s="19">
        <x:v>5300</x:v>
      </x:c>
      <x:c r="F23" s="20">
        <x:v>0.5</x:v>
      </x:c>
      <x:c r="G23" s="21">
        <x:v>0.03</x:v>
      </x:c>
    </x:row>
    <x:row r="24" spans="1:12">
      <x:c r="B24" s="5" t="s">
        <x:v>25</x:v>
      </x:c>
      <x:c r="C24" s="5" t="s">
        <x:v>53</x:v>
      </x:c>
      <x:c r="D24" s="13">
        <x:v>60</x:v>
      </x:c>
      <x:c r="E24" s="19">
        <x:v>2650</x:v>
      </x:c>
      <x:c r="F24" s="20">
        <x:v>0.5</x:v>
      </x:c>
      <x:c r="G24" s="21">
        <x:v>0</x:v>
      </x:c>
    </x:row>
    <x:row r="25" spans="1:12">
      <x:c r="B25" s="5" t="s">
        <x:v>23</x:v>
      </x:c>
      <x:c r="C25" s="5" t="s">
        <x:v>52</x:v>
      </x:c>
      <x:c r="D25" s="13">
        <x:v>-20</x:v>
      </x:c>
      <x:c r="E25" s="19">
        <x:v>4600</x:v>
      </x:c>
      <x:c r="F25" s="20">
        <x:v>0.25</x:v>
      </x:c>
      <x:c r="G25" s="21">
        <x:v>0.03</x:v>
      </x:c>
    </x:row>
    <x:row r="26" spans="1:12">
      <x:c r="B26" s="11" t="s">
        <x:v>54</x:v>
      </x:c>
    </x:row>
    <x:row r="28" spans="1:12">
      <x:c r="B28" s="7" t="s">
        <x:v>55</x:v>
      </x:c>
      <x:c r="C28" s="8" t="s">
        <x:v>56</x:v>
      </x:c>
      <x:c r="D28" s="8" t="s">
        <x:v>56</x:v>
      </x:c>
      <x:c r="F28" s="7" t="s">
        <x:v>57</x:v>
      </x:c>
      <x:c r="G28" s="8" t="s">
        <x:v>56</x:v>
      </x:c>
      <x:c r="H28" s="8" t="s">
        <x:v>56</x:v>
      </x:c>
      <x:c r="J28" s="7" t="s">
        <x:v>58</x:v>
      </x:c>
      <x:c r="K28" s="8" t="s">
        <x:v>56</x:v>
      </x:c>
      <x:c r="L28" s="8" t="s">
        <x:v>56</x:v>
      </x:c>
    </x:row>
    <x:row r="29" spans="1:12">
      <x:c r="B29" s="22">
        <x:f t="array" ref="B29:D31">QF.MCVAR(CovHandle,Spots,Vols,Positions,Alpha,Scenarios,Seed,"PHILOX",Rate,Horizon)</x:f>
      </x:c>
      <x:c r="C29" s="23"/>
      <x:c r="D29" s="24"/>
      <x:c r="F29" s="22">
        <x:f t="array" ref="F29:H31">QF.MCVAR(CovHandle,Spots,Vols,Positions,Alpha,Scenarios,Seed+1,"PHILOX",Rate,Horizon)</x:f>
      </x:c>
      <x:c r="G29" s="23"/>
      <x:c r="H29" s="24"/>
      <x:c r="J29" s="22">
        <x:f t="array" ref="J29:L31">QF.MCVAR(CovHandle,Spots,Vols,Positions,Alpha,Scenarios,Seed,"SOBOL",Rate,Horizon)</x:f>
      </x:c>
      <x:c r="K29" s="23"/>
      <x:c r="L29" s="24"/>
    </x:row>
    <x:row r="30" spans="1:12">
      <x:c r="B30" s="25"/>
      <x:c r="C30" s="26"/>
      <x:c r="D30" s="27"/>
      <x:c r="F30" s="25"/>
      <x:c r="G30" s="26"/>
      <x:c r="H30" s="27"/>
      <x:c r="J30" s="25"/>
      <x:c r="K30" s="26"/>
      <x:c r="L30" s="27"/>
    </x:row>
    <x:row r="31" spans="1:12">
      <x:c r="B31" s="28"/>
      <x:c r="C31" s="29"/>
      <x:c r="D31" s="30"/>
      <x:c r="F31" s="28"/>
      <x:c r="G31" s="29"/>
      <x:c r="H31" s="30"/>
      <x:c r="J31" s="28"/>
      <x:c r="K31" s="29"/>
      <x:c r="L31" s="30"/>
    </x:row>
    <x:row r="33" spans="1:12">
      <x:c r="B33" s="7" t="s">
        <x:v>59</x:v>
      </x:c>
      <x:c r="C33" s="8" t="s">
        <x:v>60</x:v>
      </x:c>
      <x:c r="D33" s="8" t="s">
        <x:v>61</x:v>
      </x:c>
      <x:c r="E33" s="8" t="s">
        <x:v>62</x:v>
      </x:c>
    </x:row>
    <x:row r="34" spans="1:12">
      <x:c r="B34" s="0" t="s">
        <x:v>55</x:v>
      </x:c>
      <x:c r="C34" s="31">
        <x:f>C30</x:f>
      </x:c>
      <x:c r="D34" s="31">
        <x:f>C31</x:f>
      </x:c>
      <x:c r="E34" s="32">
        <x:f>D30</x:f>
      </x:c>
    </x:row>
    <x:row r="35" spans="1:12">
      <x:c r="B35" s="0" t="s">
        <x:v>57</x:v>
      </x:c>
      <x:c r="C35" s="31">
        <x:f>G30</x:f>
      </x:c>
      <x:c r="D35" s="31">
        <x:f>G31</x:f>
      </x:c>
      <x:c r="E35" s="32">
        <x:f>H30</x:f>
      </x:c>
    </x:row>
    <x:row r="36" spans="1:12">
      <x:c r="B36" s="0" t="s">
        <x:v>58</x:v>
      </x:c>
      <x:c r="C36" s="31">
        <x:f>K30</x:f>
      </x:c>
      <x:c r="D36" s="31">
        <x:f>K31</x:f>
      </x:c>
      <x:c r="E36" s="32">
        <x:f>L30</x:f>
      </x:c>
    </x:row>
    <x:row r="37" spans="1:12">
      <x:c r="B37" s="0" t="s">
        <x:v>63</x:v>
      </x:c>
      <x:c r="C37" s="31">
        <x:f>C35-C34</x:f>
      </x:c>
      <x:c r="D37" s="11" t="s">
        <x:v>64</x:v>
      </x:c>
    </x:row>
    <x:row r="38" spans="1:12">
      <x:c r="B38" s="0" t="s">
        <x:v>65</x:v>
      </x:c>
      <x:c r="C38" s="31">
        <x:f>C36-C34</x:f>
      </x:c>
    </x:row>
    <x:row r="40" spans="1:12">
      <x:c r="B40" s="6" t="s">
        <x:v>66</x:v>
      </x:c>
      <x:c r="C40" s="16">
        <x:f>IF(OR(ISNA(C30),ISNA(G30),ISNA(K30)),"computing in the background...","done")</x:f>
      </x:c>
    </x:row>
    <x:row r="42" spans="1:12">
      <x:c r="B42" s="11" t="s">
        <x:v>67</x:v>
      </x:c>
    </x:row>
  </x:sheetData>
  <x:dataValidations count="2">
    <x:dataValidation type="list" errorStyle="stop" operator="between" allowBlank="1" showDropDown="0" showInputMessage="1" showErrorMessage="1" errorTitle="" error="" promptTitle="" prompt="" sqref="C9:C9">
      <x:formula1>"SAMPLE,EWMA,LW_CC,LW_ID"</x:formula1>
      <x:formula2/>
    </x:dataValidation>
    <x:dataValidation type="list" errorStyle="stop" operator="between" allowBlank="1" showDropDown="0" showInputMessage="1" showErrorMessage="1" errorTitle="" error="" promptTitle="" prompt="" sqref="C19:C25">
      <x:formula1>"SPOT,CALL,PUT"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About</vt:lpstr>
      <vt:lpstr>Returns</vt:lpstr>
      <vt:lpstr>MonteCarlo</vt:lpstr>
      <vt:lpstr>About!Print_Area</vt:lpstr>
      <vt:lpstr>About!Print_Titles</vt:lpstr>
      <vt:lpstr>Returns!Print_Area</vt:lpstr>
      <vt:lpstr>Returns!Print_Titles</vt:lpstr>
      <vt:lpstr>MonteCarlo!Print_Area</vt:lpstr>
      <vt:lpstr>MonteCarlo!Print_Titles</vt:lpstr>
      <vt:lpstr>ReturnsHeader</vt:lpstr>
      <vt:lpstr>Alpha</vt:lpstr>
      <vt:lpstr>Scenarios</vt:lpstr>
      <vt:lpstr>Seed</vt:lpstr>
      <vt:lpstr>Horizon</vt:lpstr>
      <vt:lpstr>Rate</vt:lpstr>
      <vt:lpstr>CovMethod</vt:lpstr>
      <vt:lpstr>Lambda</vt:lpstr>
      <vt:lpstr>CovHandle</vt:lpstr>
      <vt:lpstr>Spots</vt:lpstr>
      <vt:lpstr>Vols</vt:lpstr>
      <vt:lpstr>Positions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